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comments/comment12.xml" ContentType="application/vnd.openxmlformats-officedocument.spreadsheetml.comments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comments/comment13.xml" ContentType="application/vnd.openxmlformats-officedocument.spreadsheetml.comments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comments/comment14.xml" ContentType="application/vnd.openxmlformats-officedocument.spreadsheetml.comments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au de bord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Budget" sheetId="3" state="visible" r:id="rId3"/>
    <sheet xmlns:r="http://schemas.openxmlformats.org/officeDocument/2006/relationships" name="Financements" sheetId="4" state="visible" r:id="rId4"/>
    <sheet xmlns:r="http://schemas.openxmlformats.org/officeDocument/2006/relationships" name="Dépenses" sheetId="5" state="visible" r:id="rId5"/>
    <sheet xmlns:r="http://schemas.openxmlformats.org/officeDocument/2006/relationships" name="Rétroplanning" sheetId="6" state="visible" r:id="rId6"/>
    <sheet xmlns:r="http://schemas.openxmlformats.org/officeDocument/2006/relationships" name="Gantt" sheetId="7" state="visible" r:id="rId7"/>
    <sheet xmlns:r="http://schemas.openxmlformats.org/officeDocument/2006/relationships" name="Déroulé" sheetId="8" state="visible" r:id="rId8"/>
    <sheet xmlns:r="http://schemas.openxmlformats.org/officeDocument/2006/relationships" name="RACI" sheetId="9" state="visible" r:id="rId9"/>
    <sheet xmlns:r="http://schemas.openxmlformats.org/officeDocument/2006/relationships" name="Communication" sheetId="10" state="visible" r:id="rId10"/>
    <sheet xmlns:r="http://schemas.openxmlformats.org/officeDocument/2006/relationships" name="Partenaires" sheetId="11" state="visible" r:id="rId11"/>
    <sheet xmlns:r="http://schemas.openxmlformats.org/officeDocument/2006/relationships" name="Intervenants" sheetId="12" state="visible" r:id="rId12"/>
    <sheet xmlns:r="http://schemas.openxmlformats.org/officeDocument/2006/relationships" name="Logistique" sheetId="13" state="visible" r:id="rId13"/>
    <sheet xmlns:r="http://schemas.openxmlformats.org/officeDocument/2006/relationships" name="Lieux" sheetId="14" state="visible" r:id="rId14"/>
    <sheet xmlns:r="http://schemas.openxmlformats.org/officeDocument/2006/relationships" name="Risques" sheetId="15" state="visible" r:id="rId15"/>
    <sheet xmlns:r="http://schemas.openxmlformats.org/officeDocument/2006/relationships" name="Décisions" sheetId="16" state="visible" r:id="rId16"/>
    <sheet xmlns:r="http://schemas.openxmlformats.org/officeDocument/2006/relationships" name="Check-list" sheetId="17" state="visible" r:id="rId17"/>
    <sheet xmlns:r="http://schemas.openxmlformats.org/officeDocument/2006/relationships" name="Indicateurs" sheetId="18" state="visible" r:id="rId18"/>
    <sheet xmlns:r="http://schemas.openxmlformats.org/officeDocument/2006/relationships" name="Bilan" sheetId="19" state="visible" r:id="rId19"/>
    <sheet xmlns:r="http://schemas.openxmlformats.org/officeDocument/2006/relationships" name="Mode emploi" sheetId="20" state="visible" r:id="rId20"/>
    <sheet xmlns:r="http://schemas.openxmlformats.org/officeDocument/2006/relationships" name="Listes" sheetId="21" state="hidden" r:id="rId21"/>
  </sheets>
  <definedNames>
    <definedName name="Statuts">'Listes'!$A$1:$A$4</definedName>
    <definedName name="BudgetIDs">'Budget'!$A$8:$A$27</definedName>
    <definedName name="TaskIDs">'Rétroplanning'!$A$8:$A$38</definedName>
    <definedName name="_xlnm.Print_Titles" localSheetId="0">'Tableau de bord'!$1:$7</definedName>
    <definedName name="_xlnm.Print_Area" localSheetId="0">'Tableau de bord'!$A$1:$O$63</definedName>
    <definedName name="_xlnm._FilterDatabase" localSheetId="1" hidden="1">'Paramètres'!$A$7:$C$21</definedName>
    <definedName name="_xlnm.Print_Titles" localSheetId="1">'Paramètres'!$1:$7</definedName>
    <definedName name="_xlnm.Print_Area" localSheetId="1">'Paramètres'!$A$1:$C$21</definedName>
    <definedName name="_xlnm._FilterDatabase" localSheetId="2" hidden="1">'Budget'!$A$7:$L$27</definedName>
    <definedName name="_xlnm.Print_Titles" localSheetId="2">'Budget'!$1:$7</definedName>
    <definedName name="_xlnm.Print_Area" localSheetId="2">'Budget'!$A$1:$L$39</definedName>
    <definedName name="_xlnm._FilterDatabase" localSheetId="3" hidden="1">'Financements'!$A$7:$J$10</definedName>
    <definedName name="_xlnm.Print_Titles" localSheetId="3">'Financements'!$1:$7</definedName>
    <definedName name="_xlnm.Print_Area" localSheetId="3">'Financements'!$A$1:$J$15</definedName>
    <definedName name="_xlnm._FilterDatabase" localSheetId="4" hidden="1">'Dépenses'!$A$7:$K$47</definedName>
    <definedName name="_xlnm.Print_Titles" localSheetId="4">'Dépenses'!$1:$7</definedName>
    <definedName name="_xlnm.Print_Area" localSheetId="4">'Dépenses'!$A$1:$K$47</definedName>
    <definedName name="_xlnm._FilterDatabase" localSheetId="5" hidden="1">'Rétroplanning'!$A$7:$O$38</definedName>
    <definedName name="_xlnm.Print_Titles" localSheetId="5">'Rétroplanning'!$1:$7</definedName>
    <definedName name="_xlnm.Print_Area" localSheetId="5">'Rétroplanning'!$A$1:$O$38</definedName>
    <definedName name="_xlnm._FilterDatabase" localSheetId="6" hidden="1">'Gantt'!$A$7:$F$38</definedName>
    <definedName name="_xlnm.Print_Titles" localSheetId="6">'Gantt'!$1:$7</definedName>
    <definedName name="_xlnm.Print_Area" localSheetId="6">'Gantt'!$A$1:$P$38</definedName>
    <definedName name="_xlnm._FilterDatabase" localSheetId="7" hidden="1">'Déroulé'!$A$7:$I$21</definedName>
    <definedName name="_xlnm.Print_Titles" localSheetId="7">'Déroulé'!$1:$7</definedName>
    <definedName name="_xlnm.Print_Area" localSheetId="7">'Déroulé'!$A$1:$I$21</definedName>
    <definedName name="_xlnm._FilterDatabase" localSheetId="8" hidden="1">'RACI'!$A$7:$G$14</definedName>
    <definedName name="_xlnm.Print_Titles" localSheetId="8">'RACI'!$1:$7</definedName>
    <definedName name="_xlnm.Print_Area" localSheetId="8">'RACI'!$A$1:$G$14</definedName>
    <definedName name="_xlnm._FilterDatabase" localSheetId="9" hidden="1">'Communication'!$A$7:$J$17</definedName>
    <definedName name="_xlnm.Print_Titles" localSheetId="9">'Communication'!$1:$7</definedName>
    <definedName name="_xlnm.Print_Area" localSheetId="9">'Communication'!$A$1:$J$17</definedName>
    <definedName name="_xlnm._FilterDatabase" localSheetId="10" hidden="1">'Partenaires'!$A$7:$J$13</definedName>
    <definedName name="_xlnm.Print_Titles" localSheetId="10">'Partenaires'!$1:$7</definedName>
    <definedName name="_xlnm.Print_Area" localSheetId="10">'Partenaires'!$A$1:$J$13</definedName>
    <definedName name="_xlnm._FilterDatabase" localSheetId="11" hidden="1">'Intervenants'!$A$7:$J$10</definedName>
    <definedName name="_xlnm.Print_Titles" localSheetId="11">'Intervenants'!$1:$7</definedName>
    <definedName name="_xlnm.Print_Area" localSheetId="11">'Intervenants'!$A$1:$J$10</definedName>
    <definedName name="_xlnm._FilterDatabase" localSheetId="12" hidden="1">'Logistique'!$A$7:$I$19</definedName>
    <definedName name="_xlnm.Print_Titles" localSheetId="12">'Logistique'!$1:$7</definedName>
    <definedName name="_xlnm.Print_Area" localSheetId="12">'Logistique'!$A$1:$I$19</definedName>
    <definedName name="_xlnm._FilterDatabase" localSheetId="13" hidden="1">'Lieux'!$A$7:$J$9</definedName>
    <definedName name="_xlnm.Print_Titles" localSheetId="13">'Lieux'!$1:$7</definedName>
    <definedName name="_xlnm.Print_Area" localSheetId="13">'Lieux'!$A$1:$J$9</definedName>
    <definedName name="_xlnm._FilterDatabase" localSheetId="14" hidden="1">'Risques'!$A$7:$J$15</definedName>
    <definedName name="_xlnm.Print_Titles" localSheetId="14">'Risques'!$1:$7</definedName>
    <definedName name="_xlnm.Print_Area" localSheetId="14">'Risques'!$A$1:$J$15</definedName>
    <definedName name="_xlnm._FilterDatabase" localSheetId="15" hidden="1">'Décisions'!$A$7:$H$15</definedName>
    <definedName name="_xlnm.Print_Titles" localSheetId="15">'Décisions'!$1:$7</definedName>
    <definedName name="_xlnm.Print_Area" localSheetId="15">'Décisions'!$A$1:$H$15</definedName>
    <definedName name="_xlnm._FilterDatabase" localSheetId="16" hidden="1">'Check-list'!$A$7:$F$22</definedName>
    <definedName name="_xlnm.Print_Titles" localSheetId="16">'Check-list'!$1:$7</definedName>
    <definedName name="_xlnm.Print_Area" localSheetId="16">'Check-list'!$A$1:$F$22</definedName>
    <definedName name="_xlnm._FilterDatabase" localSheetId="17" hidden="1">'Indicateurs'!$A$7:$C$24</definedName>
    <definedName name="_xlnm.Print_Titles" localSheetId="17">'Indicateurs'!$1:$7</definedName>
    <definedName name="_xlnm.Print_Area" localSheetId="17">'Indicateurs'!$A$1:$C$24</definedName>
    <definedName name="_xlnm._FilterDatabase" localSheetId="18" hidden="1">'Bilan'!$A$7:$F$15</definedName>
    <definedName name="_xlnm.Print_Titles" localSheetId="18">'Bilan'!$1:$7</definedName>
    <definedName name="_xlnm.Print_Area" localSheetId="18">'Bilan'!$A$1:$F$15</definedName>
    <definedName name="_xlnm._FilterDatabase" localSheetId="19" hidden="1">'Mode emploi'!$A$7:$C$20</definedName>
    <definedName name="_xlnm.Print_Titles" localSheetId="19">'Mode emploi'!$1:$7</definedName>
    <definedName name="_xlnm.Print_Area" localSheetId="19">'Mode emploi'!$A$1:$C$20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0.0%"/>
    <numFmt numFmtId="167" formatCode="#,##0.00 &quot;€&quot;"/>
    <numFmt numFmtId="168" formatCode="hh:mm"/>
    <numFmt numFmtId="169" formatCode="dd mmm"/>
  </numFmts>
  <fonts count="14">
    <font>
      <name val="Calibri"/>
      <family val="2"/>
      <color theme="1"/>
      <sz val="11"/>
      <scheme val="minor"/>
    </font>
    <font>
      <name val="Aptos Display"/>
      <b val="1"/>
      <color rgb="00FFFFFF"/>
      <sz val="24"/>
    </font>
    <font>
      <name val="Aptos"/>
      <color rgb="00596573"/>
      <sz val="10"/>
    </font>
    <font>
      <color rgb="00173EC4"/>
      <sz val="9"/>
      <u val="single"/>
    </font>
    <font>
      <name val="Aptos"/>
      <b val="1"/>
      <color rgb="00FFFFFF"/>
      <sz val="10"/>
    </font>
    <font>
      <name val="Aptos"/>
      <color rgb="00202A35"/>
      <sz val="10"/>
    </font>
    <font>
      <name val="Aptos"/>
      <color rgb="0018715A"/>
      <sz val="10"/>
    </font>
    <font>
      <name val="Aptos"/>
      <color rgb="00173EC4"/>
      <sz val="10"/>
    </font>
    <font>
      <b val="1"/>
      <color rgb="0018715A"/>
      <sz val="12"/>
    </font>
    <font>
      <b val="1"/>
      <color rgb="00FFFFFF"/>
    </font>
    <font>
      <color rgb="00173EC4"/>
      <u val="single"/>
    </font>
    <font>
      <name val="Aptos"/>
      <color rgb="00202A35"/>
      <sz val="11"/>
    </font>
    <font>
      <name val="Aptos"/>
      <b val="1"/>
      <color rgb="0018715A"/>
      <sz val="18"/>
    </font>
    <font>
      <b val="1"/>
      <color rgb="00B88B35"/>
    </font>
  </fonts>
  <fills count="8">
    <fill>
      <patternFill/>
    </fill>
    <fill>
      <patternFill patternType="gray125"/>
    </fill>
    <fill>
      <patternFill patternType="solid">
        <fgColor rgb="00202A35"/>
      </patternFill>
    </fill>
    <fill>
      <patternFill patternType="solid">
        <fgColor rgb="00B88B35"/>
      </patternFill>
    </fill>
    <fill>
      <patternFill patternType="solid">
        <fgColor rgb="00F2F5F7"/>
      </patternFill>
    </fill>
    <fill>
      <patternFill patternType="solid">
        <fgColor rgb="00FFFFFF"/>
      </patternFill>
    </fill>
    <fill>
      <patternFill patternType="solid">
        <fgColor rgb="00EAF0FF"/>
      </patternFill>
    </fill>
    <fill>
      <patternFill patternType="solid">
        <fgColor rgb="00F7F4EC"/>
      </patternFill>
    </fill>
  </fills>
  <borders count="2">
    <border>
      <left/>
      <right/>
      <top/>
      <bottom/>
      <diagonal/>
    </border>
    <border>
      <bottom style="hair">
        <color rgb="00DFE4E8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  <xf numFmtId="0" fontId="4" fillId="3" borderId="0" applyAlignment="1" pivotButton="0" quotePrefix="0" xfId="0">
      <alignment vertical="center" wrapText="1"/>
    </xf>
    <xf numFmtId="0" fontId="11" fillId="7" borderId="0" applyAlignment="1" pivotButton="0" quotePrefix="0" xfId="0">
      <alignment vertical="center" wrapText="1"/>
    </xf>
    <xf numFmtId="167" fontId="12" fillId="7" borderId="0" applyAlignment="1" pivotButton="0" quotePrefix="0" xfId="0">
      <alignment horizontal="right" vertical="center" indent="1"/>
    </xf>
    <xf numFmtId="0" fontId="11" fillId="7" borderId="0" applyAlignment="1" pivotButton="0" quotePrefix="0" xfId="0">
      <alignment vertical="center" wrapText="1" indent="1"/>
    </xf>
    <xf numFmtId="0" fontId="11" fillId="5" borderId="0" applyAlignment="1" pivotButton="0" quotePrefix="0" xfId="0">
      <alignment vertical="center" wrapText="1"/>
    </xf>
    <xf numFmtId="167" fontId="12" fillId="5" borderId="0" applyAlignment="1" pivotButton="0" quotePrefix="0" xfId="0">
      <alignment horizontal="right" vertical="center" indent="1"/>
    </xf>
    <xf numFmtId="0" fontId="11" fillId="5" borderId="0" applyAlignment="1" pivotButton="0" quotePrefix="0" xfId="0">
      <alignment vertical="center" wrapText="1" indent="1"/>
    </xf>
    <xf numFmtId="1" fontId="12" fillId="7" borderId="0" applyAlignment="1" pivotButton="0" quotePrefix="0" xfId="0">
      <alignment horizontal="right" vertical="center" indent="1"/>
    </xf>
    <xf numFmtId="1" fontId="12" fillId="5" borderId="0" applyAlignment="1" pivotButton="0" quotePrefix="0" xfId="0">
      <alignment horizontal="right" vertical="center" indent="1"/>
    </xf>
    <xf numFmtId="166" fontId="12" fillId="5" borderId="0" applyAlignment="1" pivotButton="0" quotePrefix="0" xfId="0">
      <alignment horizontal="right" vertical="center" indent="1"/>
    </xf>
    <xf numFmtId="0" fontId="13" fillId="0" borderId="0" pivotButton="0" quotePrefix="0" xfId="0"/>
    <xf numFmtId="167" fontId="0" fillId="0" borderId="0" pivotButton="0" quotePrefix="0" xfId="0"/>
    <xf numFmtId="0" fontId="10" fillId="0" borderId="0" pivotButton="0" quotePrefix="0" xfId="0"/>
    <xf numFmtId="0" fontId="5" fillId="4" borderId="1" applyAlignment="1" pivotButton="0" quotePrefix="0" xfId="0">
      <alignment vertical="top" wrapText="1"/>
    </xf>
    <xf numFmtId="165" fontId="7" fillId="6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166" fontId="7" fillId="6" borderId="1" applyAlignment="1" pivotButton="0" quotePrefix="0" xfId="0">
      <alignment vertical="top" wrapText="1"/>
    </xf>
    <xf numFmtId="167" fontId="7" fillId="6" borderId="1" applyAlignment="1" pivotButton="0" quotePrefix="0" xfId="0">
      <alignment vertical="top" wrapText="1"/>
    </xf>
    <xf numFmtId="168" fontId="7" fillId="6" borderId="1" applyAlignment="1" pivotButton="0" quotePrefix="0" xfId="0">
      <alignment vertical="top" wrapText="1"/>
    </xf>
    <xf numFmtId="167" fontId="6" fillId="5" borderId="1" applyAlignment="1" pivotButton="0" quotePrefix="0" xfId="0">
      <alignment vertical="top" wrapText="1"/>
    </xf>
    <xf numFmtId="167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7" fontId="8" fillId="0" borderId="0" pivotButton="0" quotePrefix="0" xfId="0"/>
    <xf numFmtId="166" fontId="8" fillId="0" borderId="0" pivotButton="0" quotePrefix="0" xfId="0"/>
    <xf numFmtId="165" fontId="6" fillId="4" borderId="1" applyAlignment="1" pivotButton="0" quotePrefix="0" xfId="0">
      <alignment vertical="top" wrapText="1"/>
    </xf>
    <xf numFmtId="165" fontId="6" fillId="5" borderId="1" applyAlignment="1" pivotButton="0" quotePrefix="0" xfId="0">
      <alignment vertical="top" wrapText="1"/>
    </xf>
    <xf numFmtId="169" fontId="9" fillId="3" borderId="0" applyAlignment="1" pivotButton="0" quotePrefix="0" xfId="0">
      <alignment vertical="center" wrapText="1"/>
    </xf>
    <xf numFmtId="166" fontId="6" fillId="5" borderId="1" applyAlignment="1" pivotButton="0" quotePrefix="0" xfId="0">
      <alignment vertical="top" wrapText="1"/>
    </xf>
    <xf numFmtId="166" fontId="6" fillId="4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CE5E5"/>
        </patternFill>
      </fill>
    </dxf>
    <dxf>
      <font>
        <color rgb="0018715A"/>
      </font>
      <fill>
        <patternFill patternType="solid">
          <fgColor rgb="00DBF0E7"/>
        </patternFill>
      </fill>
    </dxf>
    <dxf>
      <font>
        <color rgb="00B73E43"/>
      </font>
      <fill>
        <patternFill patternType="solid">
          <fgColor rgb="00FCE5E5"/>
        </patternFill>
      </fill>
    </dxf>
    <dxf>
      <fill>
        <patternFill patternType="solid">
          <fgColor rgb="0018715A"/>
        </patternFill>
      </fill>
    </dxf>
    <dxf>
      <fill>
        <patternFill patternType="solid">
          <fgColor rgb="00B73E43"/>
        </patternFill>
      </fill>
    </dxf>
    <dxf>
      <fill>
        <patternFill patternType="solid">
          <fgColor rgb="00B88B3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par enveloppe · TTC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88B35"/>
            </a:solidFill>
            <a:ln xmlns:a="http://schemas.openxmlformats.org/drawingml/2006/main">
              <a:solidFill>
                <a:srgbClr val="B88B35"/>
              </a:solidFill>
              <a:prstDash val="solid"/>
            </a:ln>
          </spPr>
          <cat>
            <numRef>
              <f>'Tableau de bord'!$A$24:$A$31</f>
            </numRef>
          </cat>
          <val>
            <numRef>
              <f>'Tableau de bord'!$B$24:$B$31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 TTC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 d’action · statuts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8B35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3EC4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8715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73E43"/>
              </a:solidFill>
              <a:ln xmlns:a="http://schemas.openxmlformats.org/drawingml/2006/main">
                <a:prstDash val="solid"/>
              </a:ln>
            </spPr>
          </dPt>
          <cat>
            <numRef>
              <f>'Tableau de bord'!$A$35:$A$38</f>
            </numRef>
          </cat>
          <val>
            <numRef>
              <f>'Tableau de bord'!$B$35:$B$38</f>
            </numRef>
          </val>
        </ser>
        <firstSliceAng val="0"/>
        <holeSize val="65"/>
      </doughnut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Farès Benamar</author>
  </authors>
  <commentList>
    <comment ref="B8" authorId="0" shapeId="0">
      <text>
        <t>Formule de pilotage. Les données réelles restent vides avant saisie.</t>
      </text>
    </comment>
    <comment ref="B9" authorId="0" shapeId="0">
      <text>
        <t>Formule de pilotage. Les données réelles restent vides avant saisie.</t>
      </text>
    </comment>
    <comment ref="B10" authorId="0" shapeId="0">
      <text>
        <t>Formule de pilotage. Les données réelles restent vides avant saisie.</t>
      </text>
    </comment>
    <comment ref="B11" authorId="0" shapeId="0">
      <text>
        <t>Formule de pilotage. Les données réelles restent vides avant saisie.</t>
      </text>
    </comment>
    <comment ref="B12" authorId="0" shapeId="0">
      <text>
        <t>Formule de pilotage. Les données réelles restent vides avant saisie.</t>
      </text>
    </comment>
    <comment ref="B13" authorId="0" shapeId="0">
      <text>
        <t>Formule de pilotage. Les données réelles restent vides avant saisie.</t>
      </text>
    </comment>
    <comment ref="C13" authorId="0" shapeId="0">
      <text>
        <t>Formule de pilotage. Les données réelles restent vides avant saisie.</t>
      </text>
    </comment>
    <comment ref="B14" authorId="0" shapeId="0">
      <text>
        <t>Formule de pilotage. Les données réelles restent vides avant saisie.</t>
      </text>
    </comment>
    <comment ref="B15" authorId="0" shapeId="0">
      <text>
        <t>Formule de pilotage. Les données réelles restent vides avant saisie.</t>
      </text>
    </comment>
    <comment ref="B16" authorId="0" shapeId="0">
      <text>
        <t>Formule de pilotage. Les données réelles restent vides avant saisie.</t>
      </text>
    </comment>
    <comment ref="B17" authorId="0" shapeId="0">
      <text>
        <t>Formule de pilotage. Les données réelles restent vides avant saisie.</t>
      </text>
    </comment>
    <comment ref="B18" authorId="0" shapeId="0">
      <text>
        <t>Formule de pilotage. Les données réelles restent vides avant saisie.</t>
      </text>
    </comment>
    <comment ref="B19" authorId="0" shapeId="0">
      <text>
        <t>Formule de pilotage. Les données réelles restent vides avant saisie.</t>
      </text>
    </comment>
    <comment ref="B24" authorId="0" shapeId="0">
      <text>
        <t>Formule de pilotage. Les données réelles restent vides avant saisie.</t>
      </text>
    </comment>
    <comment ref="B25" authorId="0" shapeId="0">
      <text>
        <t>Formule de pilotage. Les données réelles restent vides avant saisie.</t>
      </text>
    </comment>
    <comment ref="B26" authorId="0" shapeId="0">
      <text>
        <t>Formule de pilotage. Les données réelles restent vides avant saisie.</t>
      </text>
    </comment>
    <comment ref="B27" authorId="0" shapeId="0">
      <text>
        <t>Formule de pilotage. Les données réelles restent vides avant saisie.</t>
      </text>
    </comment>
    <comment ref="B28" authorId="0" shapeId="0">
      <text>
        <t>Formule de pilotage. Les données réelles restent vides avant saisie.</t>
      </text>
    </comment>
    <comment ref="B29" authorId="0" shapeId="0">
      <text>
        <t>Formule de pilotage. Les données réelles restent vides avant saisie.</t>
      </text>
    </comment>
    <comment ref="B30" authorId="0" shapeId="0">
      <text>
        <t>Formule de pilotage. Les données réelles restent vides avant saisie.</t>
      </text>
    </comment>
    <comment ref="B31" authorId="0" shapeId="0">
      <text>
        <t>Formule de pilotage. Les données réelles restent vides avant saisie.</t>
      </text>
    </comment>
    <comment ref="B35" authorId="0" shapeId="0">
      <text>
        <t>Formule de pilotage. Les données réelles restent vides avant saisie.</t>
      </text>
    </comment>
    <comment ref="B36" authorId="0" shapeId="0">
      <text>
        <t>Formule de pilotage. Les données réelles restent vides avant saisie.</t>
      </text>
    </comment>
    <comment ref="B37" authorId="0" shapeId="0">
      <text>
        <t>Formule de pilotage. Les données réelles restent vides avant saisie.</t>
      </text>
    </comment>
    <comment ref="B38" authorId="0" shapeId="0">
      <text>
        <t>Formule de pilotage. Les données réelles restent vides avant saisie.</t>
      </text>
    </comment>
  </commentList>
</comments>
</file>

<file path=xl/comments/comment2.xml><?xml version="1.0" encoding="utf-8"?>
<comments xmlns="http://schemas.openxmlformats.org/spreadsheetml/2006/main">
  <authors>
    <author>Farès Benamar</author>
  </authors>
  <commentList>
    <comment ref="B21" authorId="0" shapeId="0">
      <text>
        <t>Formule de pilotage. Les données réelles restent vides avant saisie.</t>
      </text>
    </comment>
  </commentList>
</comments>
</file>

<file path=xl/comments/comment3.xml><?xml version="1.0" encoding="utf-8"?>
<comments xmlns="http://schemas.openxmlformats.org/spreadsheetml/2006/main">
  <authors>
    <author>Farès Benamar</author>
  </authors>
  <commentList>
    <comment ref="H8" authorId="0" shapeId="0">
      <text>
        <t>Formule de pilotage. Les données réelles restent vides avant saisie.</t>
      </text>
    </comment>
    <comment ref="K8" authorId="0" shapeId="0">
      <text>
        <t>Formule de pilotage. Les données réelles restent vides avant saisie.</t>
      </text>
    </comment>
    <comment ref="H9" authorId="0" shapeId="0">
      <text>
        <t>Formule de pilotage. Les données réelles restent vides avant saisie.</t>
      </text>
    </comment>
    <comment ref="K9" authorId="0" shapeId="0">
      <text>
        <t>Formule de pilotage. Les données réelles restent vides avant saisie.</t>
      </text>
    </comment>
    <comment ref="H10" authorId="0" shapeId="0">
      <text>
        <t>Formule de pilotage. Les données réelles restent vides avant saisie.</t>
      </text>
    </comment>
    <comment ref="K10" authorId="0" shapeId="0">
      <text>
        <t>Formule de pilotage. Les données réelles restent vides avant saisie.</t>
      </text>
    </comment>
    <comment ref="H11" authorId="0" shapeId="0">
      <text>
        <t>Formule de pilotage. Les données réelles restent vides avant saisie.</t>
      </text>
    </comment>
    <comment ref="K11" authorId="0" shapeId="0">
      <text>
        <t>Formule de pilotage. Les données réelles restent vides avant saisie.</t>
      </text>
    </comment>
    <comment ref="H12" authorId="0" shapeId="0">
      <text>
        <t>Formule de pilotage. Les données réelles restent vides avant saisie.</t>
      </text>
    </comment>
    <comment ref="K12" authorId="0" shapeId="0">
      <text>
        <t>Formule de pilotage. Les données réelles restent vides avant saisie.</t>
      </text>
    </comment>
    <comment ref="H13" authorId="0" shapeId="0">
      <text>
        <t>Formule de pilotage. Les données réelles restent vides avant saisie.</t>
      </text>
    </comment>
    <comment ref="K13" authorId="0" shapeId="0">
      <text>
        <t>Formule de pilotage. Les données réelles restent vides avant saisie.</t>
      </text>
    </comment>
    <comment ref="H14" authorId="0" shapeId="0">
      <text>
        <t>Formule de pilotage. Les données réelles restent vides avant saisie.</t>
      </text>
    </comment>
    <comment ref="K14" authorId="0" shapeId="0">
      <text>
        <t>Formule de pilotage. Les données réelles restent vides avant saisie.</t>
      </text>
    </comment>
    <comment ref="H15" authorId="0" shapeId="0">
      <text>
        <t>Formule de pilotage. Les données réelles restent vides avant saisie.</t>
      </text>
    </comment>
    <comment ref="K15" authorId="0" shapeId="0">
      <text>
        <t>Formule de pilotage. Les données réelles restent vides avant saisie.</t>
      </text>
    </comment>
    <comment ref="H16" authorId="0" shapeId="0">
      <text>
        <t>Formule de pilotage. Les données réelles restent vides avant saisie.</t>
      </text>
    </comment>
    <comment ref="K16" authorId="0" shapeId="0">
      <text>
        <t>Formule de pilotage. Les données réelles restent vides avant saisie.</t>
      </text>
    </comment>
    <comment ref="E17" authorId="0" shapeId="0">
      <text>
        <t>Formule de pilotage. Les données réelles restent vides avant saisie.</t>
      </text>
    </comment>
    <comment ref="H17" authorId="0" shapeId="0">
      <text>
        <t>Formule de pilotage. Les données réelles restent vides avant saisie.</t>
      </text>
    </comment>
    <comment ref="K17" authorId="0" shapeId="0">
      <text>
        <t>Formule de pilotage. Les données réelles restent vides avant saisie.</t>
      </text>
    </comment>
    <comment ref="E18" authorId="0" shapeId="0">
      <text>
        <t>Formule de pilotage. Les données réelles restent vides avant saisie.</t>
      </text>
    </comment>
    <comment ref="H18" authorId="0" shapeId="0">
      <text>
        <t>Formule de pilotage. Les données réelles restent vides avant saisie.</t>
      </text>
    </comment>
    <comment ref="K18" authorId="0" shapeId="0">
      <text>
        <t>Formule de pilotage. Les données réelles restent vides avant saisie.</t>
      </text>
    </comment>
    <comment ref="E19" authorId="0" shapeId="0">
      <text>
        <t>Formule de pilotage. Les données réelles restent vides avant saisie.</t>
      </text>
    </comment>
    <comment ref="H19" authorId="0" shapeId="0">
      <text>
        <t>Formule de pilotage. Les données réelles restent vides avant saisie.</t>
      </text>
    </comment>
    <comment ref="K19" authorId="0" shapeId="0">
      <text>
        <t>Formule de pilotage. Les données réelles restent vides avant saisie.</t>
      </text>
    </comment>
    <comment ref="H20" authorId="0" shapeId="0">
      <text>
        <t>Formule de pilotage. Les données réelles restent vides avant saisie.</t>
      </text>
    </comment>
    <comment ref="K20" authorId="0" shapeId="0">
      <text>
        <t>Formule de pilotage. Les données réelles restent vides avant saisie.</t>
      </text>
    </comment>
    <comment ref="H21" authorId="0" shapeId="0">
      <text>
        <t>Formule de pilotage. Les données réelles restent vides avant saisie.</t>
      </text>
    </comment>
    <comment ref="K21" authorId="0" shapeId="0">
      <text>
        <t>Formule de pilotage. Les données réelles restent vides avant saisie.</t>
      </text>
    </comment>
    <comment ref="E22" authorId="0" shapeId="0">
      <text>
        <t>Formule de pilotage. Les données réelles restent vides avant saisie.</t>
      </text>
    </comment>
    <comment ref="H22" authorId="0" shapeId="0">
      <text>
        <t>Formule de pilotage. Les données réelles restent vides avant saisie.</t>
      </text>
    </comment>
    <comment ref="K22" authorId="0" shapeId="0">
      <text>
        <t>Formule de pilotage. Les données réelles restent vides avant saisie.</t>
      </text>
    </comment>
    <comment ref="H23" authorId="0" shapeId="0">
      <text>
        <t>Formule de pilotage. Les données réelles restent vides avant saisie.</t>
      </text>
    </comment>
    <comment ref="K23" authorId="0" shapeId="0">
      <text>
        <t>Formule de pilotage. Les données réelles restent vides avant saisie.</t>
      </text>
    </comment>
    <comment ref="H24" authorId="0" shapeId="0">
      <text>
        <t>Formule de pilotage. Les données réelles restent vides avant saisie.</t>
      </text>
    </comment>
    <comment ref="K24" authorId="0" shapeId="0">
      <text>
        <t>Formule de pilotage. Les données réelles restent vides avant saisie.</t>
      </text>
    </comment>
    <comment ref="H25" authorId="0" shapeId="0">
      <text>
        <t>Formule de pilotage. Les données réelles restent vides avant saisie.</t>
      </text>
    </comment>
    <comment ref="K25" authorId="0" shapeId="0">
      <text>
        <t>Formule de pilotage. Les données réelles restent vides avant saisie.</t>
      </text>
    </comment>
    <comment ref="H26" authorId="0" shapeId="0">
      <text>
        <t>Formule de pilotage. Les données réelles restent vides avant saisie.</t>
      </text>
    </comment>
    <comment ref="K26" authorId="0" shapeId="0">
      <text>
        <t>Formule de pilotage. Les données réelles restent vides avant saisie.</t>
      </text>
    </comment>
    <comment ref="H27" authorId="0" shapeId="0">
      <text>
        <t>Formule de pilotage. Les données réelles restent vides avant saisie.</t>
      </text>
    </comment>
    <comment ref="K27" authorId="0" shapeId="0">
      <text>
        <t>Formule de pilotage. Les données réelles restent vides avant saisie.</t>
      </text>
    </comment>
    <comment ref="H33" authorId="0" shapeId="0">
      <text>
        <t>Formule de pilotage. Les données réelles restent vides avant saisie.</t>
      </text>
    </comment>
    <comment ref="H34" authorId="0" shapeId="0">
      <text>
        <t>Formule de pilotage. Les données réelles restent vides avant saisie.</t>
      </text>
    </comment>
    <comment ref="H35" authorId="0" shapeId="0">
      <text>
        <t>Formule de pilotage. Les données réelles restent vides avant saisie.</t>
      </text>
    </comment>
    <comment ref="H36" authorId="0" shapeId="0">
      <text>
        <t>Formule de pilotage. Les données réelles restent vides avant saisie.</t>
      </text>
    </comment>
    <comment ref="H37" authorId="0" shapeId="0">
      <text>
        <t>Formule de pilotage. Les données réelles restent vides avant saisie.</t>
      </text>
    </comment>
    <comment ref="H38" authorId="0" shapeId="0">
      <text>
        <t>Formule de pilotage. Les données réelles restent vides avant saisie.</t>
      </text>
    </comment>
    <comment ref="H39" authorId="0" shapeId="0">
      <text>
        <t>Formule de pilotage. Les données réelles restent vides avant saisie.</t>
      </text>
    </comment>
  </commentList>
</comments>
</file>

<file path=xl/comments/comment4.xml><?xml version="1.0" encoding="utf-8"?>
<comments xmlns="http://schemas.openxmlformats.org/spreadsheetml/2006/main">
  <authors>
    <author>Farès Benamar</author>
  </authors>
  <commentList>
    <comment ref="D9" authorId="0" shapeId="0">
      <text>
        <t>Formule de pilotage. Les données réelles restent vides avant saisie.</t>
      </text>
    </comment>
    <comment ref="D14" authorId="0" shapeId="0">
      <text>
        <t>Formule de pilotage. Les données réelles restent vides avant saisie.</t>
      </text>
    </comment>
    <comment ref="E14" authorId="0" shapeId="0">
      <text>
        <t>Formule de pilotage. Les données réelles restent vides avant saisie.</t>
      </text>
    </comment>
    <comment ref="F14" authorId="0" shapeId="0">
      <text>
        <t>Formule de pilotage. Les données réelles restent vides avant saisie.</t>
      </text>
    </comment>
    <comment ref="E15" authorId="0" shapeId="0">
      <text>
        <t>Formule de pilotage. Les données réelles restent vides avant saisie.</t>
      </text>
    </comment>
    <comment ref="F15" authorId="0" shapeId="0">
      <text>
        <t>Formule de pilotage. Les données réelles restent vides avant saisie.</t>
      </text>
    </comment>
  </commentList>
</comments>
</file>

<file path=xl/comments/comment5.xml><?xml version="1.0" encoding="utf-8"?>
<comments xmlns="http://schemas.openxmlformats.org/spreadsheetml/2006/main">
  <authors>
    <author>Farès Benamar</author>
  </authors>
  <commentList>
    <comment ref="K8" authorId="0" shapeId="0">
      <text>
        <t>Formule de pilotage. Les données réelles restent vides avant saisie.</t>
      </text>
    </comment>
    <comment ref="K9" authorId="0" shapeId="0">
      <text>
        <t>Formule de pilotage. Les données réelles restent vides avant saisie.</t>
      </text>
    </comment>
    <comment ref="K10" authorId="0" shapeId="0">
      <text>
        <t>Formule de pilotage. Les données réelles restent vides avant saisie.</t>
      </text>
    </comment>
    <comment ref="K11" authorId="0" shapeId="0">
      <text>
        <t>Formule de pilotage. Les données réelles restent vides avant saisie.</t>
      </text>
    </comment>
    <comment ref="K12" authorId="0" shapeId="0">
      <text>
        <t>Formule de pilotage. Les données réelles restent vides avant saisie.</t>
      </text>
    </comment>
    <comment ref="K13" authorId="0" shapeId="0">
      <text>
        <t>Formule de pilotage. Les données réelles restent vides avant saisie.</t>
      </text>
    </comment>
    <comment ref="K14" authorId="0" shapeId="0">
      <text>
        <t>Formule de pilotage. Les données réelles restent vides avant saisie.</t>
      </text>
    </comment>
    <comment ref="K15" authorId="0" shapeId="0">
      <text>
        <t>Formule de pilotage. Les données réelles restent vides avant saisie.</t>
      </text>
    </comment>
    <comment ref="K16" authorId="0" shapeId="0">
      <text>
        <t>Formule de pilotage. Les données réelles restent vides avant saisie.</t>
      </text>
    </comment>
    <comment ref="K17" authorId="0" shapeId="0">
      <text>
        <t>Formule de pilotage. Les données réelles restent vides avant saisie.</t>
      </text>
    </comment>
    <comment ref="K18" authorId="0" shapeId="0">
      <text>
        <t>Formule de pilotage. Les données réelles restent vides avant saisie.</t>
      </text>
    </comment>
    <comment ref="K19" authorId="0" shapeId="0">
      <text>
        <t>Formule de pilotage. Les données réelles restent vides avant saisie.</t>
      </text>
    </comment>
    <comment ref="K20" authorId="0" shapeId="0">
      <text>
        <t>Formule de pilotage. Les données réelles restent vides avant saisie.</t>
      </text>
    </comment>
    <comment ref="K21" authorId="0" shapeId="0">
      <text>
        <t>Formule de pilotage. Les données réelles restent vides avant saisie.</t>
      </text>
    </comment>
    <comment ref="K22" authorId="0" shapeId="0">
      <text>
        <t>Formule de pilotage. Les données réelles restent vides avant saisie.</t>
      </text>
    </comment>
    <comment ref="K23" authorId="0" shapeId="0">
      <text>
        <t>Formule de pilotage. Les données réelles restent vides avant saisie.</t>
      </text>
    </comment>
    <comment ref="K24" authorId="0" shapeId="0">
      <text>
        <t>Formule de pilotage. Les données réelles restent vides avant saisie.</t>
      </text>
    </comment>
    <comment ref="K25" authorId="0" shapeId="0">
      <text>
        <t>Formule de pilotage. Les données réelles restent vides avant saisie.</t>
      </text>
    </comment>
    <comment ref="K26" authorId="0" shapeId="0">
      <text>
        <t>Formule de pilotage. Les données réelles restent vides avant saisie.</t>
      </text>
    </comment>
    <comment ref="K27" authorId="0" shapeId="0">
      <text>
        <t>Formule de pilotage. Les données réelles restent vides avant saisie.</t>
      </text>
    </comment>
    <comment ref="K28" authorId="0" shapeId="0">
      <text>
        <t>Formule de pilotage. Les données réelles restent vides avant saisie.</t>
      </text>
    </comment>
    <comment ref="K29" authorId="0" shapeId="0">
      <text>
        <t>Formule de pilotage. Les données réelles restent vides avant saisie.</t>
      </text>
    </comment>
    <comment ref="K30" authorId="0" shapeId="0">
      <text>
        <t>Formule de pilotage. Les données réelles restent vides avant saisie.</t>
      </text>
    </comment>
    <comment ref="K31" authorId="0" shapeId="0">
      <text>
        <t>Formule de pilotage. Les données réelles restent vides avant saisie.</t>
      </text>
    </comment>
    <comment ref="K32" authorId="0" shapeId="0">
      <text>
        <t>Formule de pilotage. Les données réelles restent vides avant saisie.</t>
      </text>
    </comment>
    <comment ref="K33" authorId="0" shapeId="0">
      <text>
        <t>Formule de pilotage. Les données réelles restent vides avant saisie.</t>
      </text>
    </comment>
    <comment ref="K34" authorId="0" shapeId="0">
      <text>
        <t>Formule de pilotage. Les données réelles restent vides avant saisie.</t>
      </text>
    </comment>
    <comment ref="K35" authorId="0" shapeId="0">
      <text>
        <t>Formule de pilotage. Les données réelles restent vides avant saisie.</t>
      </text>
    </comment>
    <comment ref="K36" authorId="0" shapeId="0">
      <text>
        <t>Formule de pilotage. Les données réelles restent vides avant saisie.</t>
      </text>
    </comment>
    <comment ref="K37" authorId="0" shapeId="0">
      <text>
        <t>Formule de pilotage. Les données réelles restent vides avant saisie.</t>
      </text>
    </comment>
    <comment ref="K38" authorId="0" shapeId="0">
      <text>
        <t>Formule de pilotage. Les données réelles restent vides avant saisie.</t>
      </text>
    </comment>
    <comment ref="K39" authorId="0" shapeId="0">
      <text>
        <t>Formule de pilotage. Les données réelles restent vides avant saisie.</t>
      </text>
    </comment>
    <comment ref="K40" authorId="0" shapeId="0">
      <text>
        <t>Formule de pilotage. Les données réelles restent vides avant saisie.</t>
      </text>
    </comment>
    <comment ref="K41" authorId="0" shapeId="0">
      <text>
        <t>Formule de pilotage. Les données réelles restent vides avant saisie.</t>
      </text>
    </comment>
    <comment ref="K42" authorId="0" shapeId="0">
      <text>
        <t>Formule de pilotage. Les données réelles restent vides avant saisie.</t>
      </text>
    </comment>
    <comment ref="K43" authorId="0" shapeId="0">
      <text>
        <t>Formule de pilotage. Les données réelles restent vides avant saisie.</t>
      </text>
    </comment>
    <comment ref="K44" authorId="0" shapeId="0">
      <text>
        <t>Formule de pilotage. Les données réelles restent vides avant saisie.</t>
      </text>
    </comment>
    <comment ref="K45" authorId="0" shapeId="0">
      <text>
        <t>Formule de pilotage. Les données réelles restent vides avant saisie.</t>
      </text>
    </comment>
    <comment ref="K46" authorId="0" shapeId="0">
      <text>
        <t>Formule de pilotage. Les données réelles restent vides avant saisie.</t>
      </text>
    </comment>
    <comment ref="K47" authorId="0" shapeId="0">
      <text>
        <t>Formule de pilotage. Les données réelles restent vides avant saisie.</t>
      </text>
    </comment>
  </commentList>
</comments>
</file>

<file path=xl/comments/comment6.xml><?xml version="1.0" encoding="utf-8"?>
<comments xmlns="http://schemas.openxmlformats.org/spreadsheetml/2006/main">
  <authors>
    <author>Farès Benamar</author>
  </authors>
  <commentList>
    <comment ref="H8" authorId="0" shapeId="0">
      <text>
        <t>Formule de pilotage. Les données réelles restent vides avant saisie.</t>
      </text>
    </comment>
    <comment ref="I8" authorId="0" shapeId="0">
      <text>
        <t>Formule de pilotage. Les données réelles restent vides avant saisie.</t>
      </text>
    </comment>
    <comment ref="J8" authorId="0" shapeId="0">
      <text>
        <t>Formule de pilotage. Les données réelles restent vides avant saisie.</t>
      </text>
    </comment>
    <comment ref="N8" authorId="0" shapeId="0">
      <text>
        <t>Formule de pilotage. Les données réelles restent vides avant saisie.</t>
      </text>
    </comment>
    <comment ref="O8" authorId="0" shapeId="0">
      <text>
        <t>Formule de pilotage. Les données réelles restent vides avant saisie.</t>
      </text>
    </comment>
    <comment ref="H9" authorId="0" shapeId="0">
      <text>
        <t>Formule de pilotage. Les données réelles restent vides avant saisie.</t>
      </text>
    </comment>
    <comment ref="I9" authorId="0" shapeId="0">
      <text>
        <t>Formule de pilotage. Les données réelles restent vides avant saisie.</t>
      </text>
    </comment>
    <comment ref="J9" authorId="0" shapeId="0">
      <text>
        <t>Formule de pilotage. Les données réelles restent vides avant saisie.</t>
      </text>
    </comment>
    <comment ref="N9" authorId="0" shapeId="0">
      <text>
        <t>Formule de pilotage. Les données réelles restent vides avant saisie.</t>
      </text>
    </comment>
    <comment ref="O9" authorId="0" shapeId="0">
      <text>
        <t>Formule de pilotage. Les données réelles restent vides avant saisie.</t>
      </text>
    </comment>
    <comment ref="H10" authorId="0" shapeId="0">
      <text>
        <t>Formule de pilotage. Les données réelles restent vides avant saisie.</t>
      </text>
    </comment>
    <comment ref="I10" authorId="0" shapeId="0">
      <text>
        <t>Formule de pilotage. Les données réelles restent vides avant saisie.</t>
      </text>
    </comment>
    <comment ref="J10" authorId="0" shapeId="0">
      <text>
        <t>Formule de pilotage. Les données réelles restent vides avant saisie.</t>
      </text>
    </comment>
    <comment ref="N10" authorId="0" shapeId="0">
      <text>
        <t>Formule de pilotage. Les données réelles restent vides avant saisie.</t>
      </text>
    </comment>
    <comment ref="O10" authorId="0" shapeId="0">
      <text>
        <t>Formule de pilotage. Les données réelles restent vides avant saisie.</t>
      </text>
    </comment>
    <comment ref="H11" authorId="0" shapeId="0">
      <text>
        <t>Formule de pilotage. Les données réelles restent vides avant saisie.</t>
      </text>
    </comment>
    <comment ref="I11" authorId="0" shapeId="0">
      <text>
        <t>Formule de pilotage. Les données réelles restent vides avant saisie.</t>
      </text>
    </comment>
    <comment ref="J11" authorId="0" shapeId="0">
      <text>
        <t>Formule de pilotage. Les données réelles restent vides avant saisie.</t>
      </text>
    </comment>
    <comment ref="N11" authorId="0" shapeId="0">
      <text>
        <t>Formule de pilotage. Les données réelles restent vides avant saisie.</t>
      </text>
    </comment>
    <comment ref="O11" authorId="0" shapeId="0">
      <text>
        <t>Formule de pilotage. Les données réelles restent vides avant saisie.</t>
      </text>
    </comment>
    <comment ref="H12" authorId="0" shapeId="0">
      <text>
        <t>Formule de pilotage. Les données réelles restent vides avant saisie.</t>
      </text>
    </comment>
    <comment ref="I12" authorId="0" shapeId="0">
      <text>
        <t>Formule de pilotage. Les données réelles restent vides avant saisie.</t>
      </text>
    </comment>
    <comment ref="J12" authorId="0" shapeId="0">
      <text>
        <t>Formule de pilotage. Les données réelles restent vides avant saisie.</t>
      </text>
    </comment>
    <comment ref="N12" authorId="0" shapeId="0">
      <text>
        <t>Formule de pilotage. Les données réelles restent vides avant saisie.</t>
      </text>
    </comment>
    <comment ref="O12" authorId="0" shapeId="0">
      <text>
        <t>Formule de pilotage. Les données réelles restent vides avant saisie.</t>
      </text>
    </comment>
    <comment ref="H13" authorId="0" shapeId="0">
      <text>
        <t>Formule de pilotage. Les données réelles restent vides avant saisie.</t>
      </text>
    </comment>
    <comment ref="I13" authorId="0" shapeId="0">
      <text>
        <t>Formule de pilotage. Les données réelles restent vides avant saisie.</t>
      </text>
    </comment>
    <comment ref="J13" authorId="0" shapeId="0">
      <text>
        <t>Formule de pilotage. Les données réelles restent vides avant saisie.</t>
      </text>
    </comment>
    <comment ref="N13" authorId="0" shapeId="0">
      <text>
        <t>Formule de pilotage. Les données réelles restent vides avant saisie.</t>
      </text>
    </comment>
    <comment ref="O13" authorId="0" shapeId="0">
      <text>
        <t>Formule de pilotage. Les données réelles restent vides avant saisie.</t>
      </text>
    </comment>
    <comment ref="H14" authorId="0" shapeId="0">
      <text>
        <t>Formule de pilotage. Les données réelles restent vides avant saisie.</t>
      </text>
    </comment>
    <comment ref="I14" authorId="0" shapeId="0">
      <text>
        <t>Formule de pilotage. Les données réelles restent vides avant saisie.</t>
      </text>
    </comment>
    <comment ref="J14" authorId="0" shapeId="0">
      <text>
        <t>Formule de pilotage. Les données réelles restent vides avant saisie.</t>
      </text>
    </comment>
    <comment ref="N14" authorId="0" shapeId="0">
      <text>
        <t>Formule de pilotage. Les données réelles restent vides avant saisie.</t>
      </text>
    </comment>
    <comment ref="O14" authorId="0" shapeId="0">
      <text>
        <t>Formule de pilotage. Les données réelles restent vides avant saisie.</t>
      </text>
    </comment>
    <comment ref="H15" authorId="0" shapeId="0">
      <text>
        <t>Formule de pilotage. Les données réelles restent vides avant saisie.</t>
      </text>
    </comment>
    <comment ref="I15" authorId="0" shapeId="0">
      <text>
        <t>Formule de pilotage. Les données réelles restent vides avant saisie.</t>
      </text>
    </comment>
    <comment ref="J15" authorId="0" shapeId="0">
      <text>
        <t>Formule de pilotage. Les données réelles restent vides avant saisie.</t>
      </text>
    </comment>
    <comment ref="N15" authorId="0" shapeId="0">
      <text>
        <t>Formule de pilotage. Les données réelles restent vides avant saisie.</t>
      </text>
    </comment>
    <comment ref="O15" authorId="0" shapeId="0">
      <text>
        <t>Formule de pilotage. Les données réelles restent vides avant saisie.</t>
      </text>
    </comment>
    <comment ref="H16" authorId="0" shapeId="0">
      <text>
        <t>Formule de pilotage. Les données réelles restent vides avant saisie.</t>
      </text>
    </comment>
    <comment ref="I16" authorId="0" shapeId="0">
      <text>
        <t>Formule de pilotage. Les données réelles restent vides avant saisie.</t>
      </text>
    </comment>
    <comment ref="J16" authorId="0" shapeId="0">
      <text>
        <t>Formule de pilotage. Les données réelles restent vides avant saisie.</t>
      </text>
    </comment>
    <comment ref="N16" authorId="0" shapeId="0">
      <text>
        <t>Formule de pilotage. Les données réelles restent vides avant saisie.</t>
      </text>
    </comment>
    <comment ref="O16" authorId="0" shapeId="0">
      <text>
        <t>Formule de pilotage. Les données réelles restent vides avant saisie.</t>
      </text>
    </comment>
    <comment ref="H17" authorId="0" shapeId="0">
      <text>
        <t>Formule de pilotage. Les données réelles restent vides avant saisie.</t>
      </text>
    </comment>
    <comment ref="I17" authorId="0" shapeId="0">
      <text>
        <t>Formule de pilotage. Les données réelles restent vides avant saisie.</t>
      </text>
    </comment>
    <comment ref="J17" authorId="0" shapeId="0">
      <text>
        <t>Formule de pilotage. Les données réelles restent vides avant saisie.</t>
      </text>
    </comment>
    <comment ref="N17" authorId="0" shapeId="0">
      <text>
        <t>Formule de pilotage. Les données réelles restent vides avant saisie.</t>
      </text>
    </comment>
    <comment ref="O17" authorId="0" shapeId="0">
      <text>
        <t>Formule de pilotage. Les données réelles restent vides avant saisie.</t>
      </text>
    </comment>
    <comment ref="H18" authorId="0" shapeId="0">
      <text>
        <t>Formule de pilotage. Les données réelles restent vides avant saisie.</t>
      </text>
    </comment>
    <comment ref="I18" authorId="0" shapeId="0">
      <text>
        <t>Formule de pilotage. Les données réelles restent vides avant saisie.</t>
      </text>
    </comment>
    <comment ref="J18" authorId="0" shapeId="0">
      <text>
        <t>Formule de pilotage. Les données réelles restent vides avant saisie.</t>
      </text>
    </comment>
    <comment ref="N18" authorId="0" shapeId="0">
      <text>
        <t>Formule de pilotage. Les données réelles restent vides avant saisie.</t>
      </text>
    </comment>
    <comment ref="O18" authorId="0" shapeId="0">
      <text>
        <t>Formule de pilotage. Les données réelles restent vides avant saisie.</t>
      </text>
    </comment>
    <comment ref="H19" authorId="0" shapeId="0">
      <text>
        <t>Formule de pilotage. Les données réelles restent vides avant saisie.</t>
      </text>
    </comment>
    <comment ref="I19" authorId="0" shapeId="0">
      <text>
        <t>Formule de pilotage. Les données réelles restent vides avant saisie.</t>
      </text>
    </comment>
    <comment ref="J19" authorId="0" shapeId="0">
      <text>
        <t>Formule de pilotage. Les données réelles restent vides avant saisie.</t>
      </text>
    </comment>
    <comment ref="N19" authorId="0" shapeId="0">
      <text>
        <t>Formule de pilotage. Les données réelles restent vides avant saisie.</t>
      </text>
    </comment>
    <comment ref="O19" authorId="0" shapeId="0">
      <text>
        <t>Formule de pilotage. Les données réelles restent vides avant saisie.</t>
      </text>
    </comment>
    <comment ref="E20" authorId="0" shapeId="0">
      <text>
        <t>Formule de pilotage. Les données réelles restent vides avant saisie.</t>
      </text>
    </comment>
    <comment ref="F20" authorId="0" shapeId="0">
      <text>
        <t>Formule de pilotage. Les données réelles restent vides avant saisie.</t>
      </text>
    </comment>
    <comment ref="J20" authorId="0" shapeId="0">
      <text>
        <t>Formule de pilotage. Les données réelles restent vides avant saisie.</t>
      </text>
    </comment>
    <comment ref="N20" authorId="0" shapeId="0">
      <text>
        <t>Formule de pilotage. Les données réelles restent vides avant saisie.</t>
      </text>
    </comment>
    <comment ref="O20" authorId="0" shapeId="0">
      <text>
        <t>Formule de pilotage. Les données réelles restent vides avant saisie.</t>
      </text>
    </comment>
    <comment ref="H21" authorId="0" shapeId="0">
      <text>
        <t>Formule de pilotage. Les données réelles restent vides avant saisie.</t>
      </text>
    </comment>
    <comment ref="I21" authorId="0" shapeId="0">
      <text>
        <t>Formule de pilotage. Les données réelles restent vides avant saisie.</t>
      </text>
    </comment>
    <comment ref="J21" authorId="0" shapeId="0">
      <text>
        <t>Formule de pilotage. Les données réelles restent vides avant saisie.</t>
      </text>
    </comment>
    <comment ref="N21" authorId="0" shapeId="0">
      <text>
        <t>Formule de pilotage. Les données réelles restent vides avant saisie.</t>
      </text>
    </comment>
    <comment ref="O21" authorId="0" shapeId="0">
      <text>
        <t>Formule de pilotage. Les données réelles restent vides avant saisie.</t>
      </text>
    </comment>
    <comment ref="H22" authorId="0" shapeId="0">
      <text>
        <t>Formule de pilotage. Les données réelles restent vides avant saisie.</t>
      </text>
    </comment>
    <comment ref="I22" authorId="0" shapeId="0">
      <text>
        <t>Formule de pilotage. Les données réelles restent vides avant saisie.</t>
      </text>
    </comment>
    <comment ref="J22" authorId="0" shapeId="0">
      <text>
        <t>Formule de pilotage. Les données réelles restent vides avant saisie.</t>
      </text>
    </comment>
    <comment ref="N22" authorId="0" shapeId="0">
      <text>
        <t>Formule de pilotage. Les données réelles restent vides avant saisie.</t>
      </text>
    </comment>
    <comment ref="O22" authorId="0" shapeId="0">
      <text>
        <t>Formule de pilotage. Les données réelles restent vides avant saisie.</t>
      </text>
    </comment>
    <comment ref="H23" authorId="0" shapeId="0">
      <text>
        <t>Formule de pilotage. Les données réelles restent vides avant saisie.</t>
      </text>
    </comment>
    <comment ref="I23" authorId="0" shapeId="0">
      <text>
        <t>Formule de pilotage. Les données réelles restent vides avant saisie.</t>
      </text>
    </comment>
    <comment ref="J23" authorId="0" shapeId="0">
      <text>
        <t>Formule de pilotage. Les données réelles restent vides avant saisie.</t>
      </text>
    </comment>
    <comment ref="N23" authorId="0" shapeId="0">
      <text>
        <t>Formule de pilotage. Les données réelles restent vides avant saisie.</t>
      </text>
    </comment>
    <comment ref="O23" authorId="0" shapeId="0">
      <text>
        <t>Formule de pilotage. Les données réelles restent vides avant saisie.</t>
      </text>
    </comment>
    <comment ref="H24" authorId="0" shapeId="0">
      <text>
        <t>Formule de pilotage. Les données réelles restent vides avant saisie.</t>
      </text>
    </comment>
    <comment ref="I24" authorId="0" shapeId="0">
      <text>
        <t>Formule de pilotage. Les données réelles restent vides avant saisie.</t>
      </text>
    </comment>
    <comment ref="J24" authorId="0" shapeId="0">
      <text>
        <t>Formule de pilotage. Les données réelles restent vides avant saisie.</t>
      </text>
    </comment>
    <comment ref="N24" authorId="0" shapeId="0">
      <text>
        <t>Formule de pilotage. Les données réelles restent vides avant saisie.</t>
      </text>
    </comment>
    <comment ref="O24" authorId="0" shapeId="0">
      <text>
        <t>Formule de pilotage. Les données réelles restent vides avant saisie.</t>
      </text>
    </comment>
    <comment ref="H25" authorId="0" shapeId="0">
      <text>
        <t>Formule de pilotage. Les données réelles restent vides avant saisie.</t>
      </text>
    </comment>
    <comment ref="I25" authorId="0" shapeId="0">
      <text>
        <t>Formule de pilotage. Les données réelles restent vides avant saisie.</t>
      </text>
    </comment>
    <comment ref="J25" authorId="0" shapeId="0">
      <text>
        <t>Formule de pilotage. Les données réelles restent vides avant saisie.</t>
      </text>
    </comment>
    <comment ref="N25" authorId="0" shapeId="0">
      <text>
        <t>Formule de pilotage. Les données réelles restent vides avant saisie.</t>
      </text>
    </comment>
    <comment ref="O25" authorId="0" shapeId="0">
      <text>
        <t>Formule de pilotage. Les données réelles restent vides avant saisie.</t>
      </text>
    </comment>
    <comment ref="H26" authorId="0" shapeId="0">
      <text>
        <t>Formule de pilotage. Les données réelles restent vides avant saisie.</t>
      </text>
    </comment>
    <comment ref="I26" authorId="0" shapeId="0">
      <text>
        <t>Formule de pilotage. Les données réelles restent vides avant saisie.</t>
      </text>
    </comment>
    <comment ref="J26" authorId="0" shapeId="0">
      <text>
        <t>Formule de pilotage. Les données réelles restent vides avant saisie.</t>
      </text>
    </comment>
    <comment ref="N26" authorId="0" shapeId="0">
      <text>
        <t>Formule de pilotage. Les données réelles restent vides avant saisie.</t>
      </text>
    </comment>
    <comment ref="O26" authorId="0" shapeId="0">
      <text>
        <t>Formule de pilotage. Les données réelles restent vides avant saisie.</t>
      </text>
    </comment>
    <comment ref="H27" authorId="0" shapeId="0">
      <text>
        <t>Formule de pilotage. Les données réelles restent vides avant saisie.</t>
      </text>
    </comment>
    <comment ref="I27" authorId="0" shapeId="0">
      <text>
        <t>Formule de pilotage. Les données réelles restent vides avant saisie.</t>
      </text>
    </comment>
    <comment ref="J27" authorId="0" shapeId="0">
      <text>
        <t>Formule de pilotage. Les données réelles restent vides avant saisie.</t>
      </text>
    </comment>
    <comment ref="N27" authorId="0" shapeId="0">
      <text>
        <t>Formule de pilotage. Les données réelles restent vides avant saisie.</t>
      </text>
    </comment>
    <comment ref="O27" authorId="0" shapeId="0">
      <text>
        <t>Formule de pilotage. Les données réelles restent vides avant saisie.</t>
      </text>
    </comment>
    <comment ref="H28" authorId="0" shapeId="0">
      <text>
        <t>Formule de pilotage. Les données réelles restent vides avant saisie.</t>
      </text>
    </comment>
    <comment ref="I28" authorId="0" shapeId="0">
      <text>
        <t>Formule de pilotage. Les données réelles restent vides avant saisie.</t>
      </text>
    </comment>
    <comment ref="J28" authorId="0" shapeId="0">
      <text>
        <t>Formule de pilotage. Les données réelles restent vides avant saisie.</t>
      </text>
    </comment>
    <comment ref="N28" authorId="0" shapeId="0">
      <text>
        <t>Formule de pilotage. Les données réelles restent vides avant saisie.</t>
      </text>
    </comment>
    <comment ref="O28" authorId="0" shapeId="0">
      <text>
        <t>Formule de pilotage. Les données réelles restent vides avant saisie.</t>
      </text>
    </comment>
    <comment ref="H29" authorId="0" shapeId="0">
      <text>
        <t>Formule de pilotage. Les données réelles restent vides avant saisie.</t>
      </text>
    </comment>
    <comment ref="I29" authorId="0" shapeId="0">
      <text>
        <t>Formule de pilotage. Les données réelles restent vides avant saisie.</t>
      </text>
    </comment>
    <comment ref="J29" authorId="0" shapeId="0">
      <text>
        <t>Formule de pilotage. Les données réelles restent vides avant saisie.</t>
      </text>
    </comment>
    <comment ref="N29" authorId="0" shapeId="0">
      <text>
        <t>Formule de pilotage. Les données réelles restent vides avant saisie.</t>
      </text>
    </comment>
    <comment ref="O29" authorId="0" shapeId="0">
      <text>
        <t>Formule de pilotage. Les données réelles restent vides avant saisie.</t>
      </text>
    </comment>
    <comment ref="H30" authorId="0" shapeId="0">
      <text>
        <t>Formule de pilotage. Les données réelles restent vides avant saisie.</t>
      </text>
    </comment>
    <comment ref="I30" authorId="0" shapeId="0">
      <text>
        <t>Formule de pilotage. Les données réelles restent vides avant saisie.</t>
      </text>
    </comment>
    <comment ref="J30" authorId="0" shapeId="0">
      <text>
        <t>Formule de pilotage. Les données réelles restent vides avant saisie.</t>
      </text>
    </comment>
    <comment ref="N30" authorId="0" shapeId="0">
      <text>
        <t>Formule de pilotage. Les données réelles restent vides avant saisie.</t>
      </text>
    </comment>
    <comment ref="O30" authorId="0" shapeId="0">
      <text>
        <t>Formule de pilotage. Les données réelles restent vides avant saisie.</t>
      </text>
    </comment>
    <comment ref="H31" authorId="0" shapeId="0">
      <text>
        <t>Formule de pilotage. Les données réelles restent vides avant saisie.</t>
      </text>
    </comment>
    <comment ref="I31" authorId="0" shapeId="0">
      <text>
        <t>Formule de pilotage. Les données réelles restent vides avant saisie.</t>
      </text>
    </comment>
    <comment ref="J31" authorId="0" shapeId="0">
      <text>
        <t>Formule de pilotage. Les données réelles restent vides avant saisie.</t>
      </text>
    </comment>
    <comment ref="N31" authorId="0" shapeId="0">
      <text>
        <t>Formule de pilotage. Les données réelles restent vides avant saisie.</t>
      </text>
    </comment>
    <comment ref="O31" authorId="0" shapeId="0">
      <text>
        <t>Formule de pilotage. Les données réelles restent vides avant saisie.</t>
      </text>
    </comment>
    <comment ref="H32" authorId="0" shapeId="0">
      <text>
        <t>Formule de pilotage. Les données réelles restent vides avant saisie.</t>
      </text>
    </comment>
    <comment ref="I32" authorId="0" shapeId="0">
      <text>
        <t>Formule de pilotage. Les données réelles restent vides avant saisie.</t>
      </text>
    </comment>
    <comment ref="J32" authorId="0" shapeId="0">
      <text>
        <t>Formule de pilotage. Les données réelles restent vides avant saisie.</t>
      </text>
    </comment>
    <comment ref="N32" authorId="0" shapeId="0">
      <text>
        <t>Formule de pilotage. Les données réelles restent vides avant saisie.</t>
      </text>
    </comment>
    <comment ref="O32" authorId="0" shapeId="0">
      <text>
        <t>Formule de pilotage. Les données réelles restent vides avant saisie.</t>
      </text>
    </comment>
    <comment ref="H33" authorId="0" shapeId="0">
      <text>
        <t>Formule de pilotage. Les données réelles restent vides avant saisie.</t>
      </text>
    </comment>
    <comment ref="I33" authorId="0" shapeId="0">
      <text>
        <t>Formule de pilotage. Les données réelles restent vides avant saisie.</t>
      </text>
    </comment>
    <comment ref="J33" authorId="0" shapeId="0">
      <text>
        <t>Formule de pilotage. Les données réelles restent vides avant saisie.</t>
      </text>
    </comment>
    <comment ref="N33" authorId="0" shapeId="0">
      <text>
        <t>Formule de pilotage. Les données réelles restent vides avant saisie.</t>
      </text>
    </comment>
    <comment ref="O33" authorId="0" shapeId="0">
      <text>
        <t>Formule de pilotage. Les données réelles restent vides avant saisie.</t>
      </text>
    </comment>
    <comment ref="H34" authorId="0" shapeId="0">
      <text>
        <t>Formule de pilotage. Les données réelles restent vides avant saisie.</t>
      </text>
    </comment>
    <comment ref="I34" authorId="0" shapeId="0">
      <text>
        <t>Formule de pilotage. Les données réelles restent vides avant saisie.</t>
      </text>
    </comment>
    <comment ref="J34" authorId="0" shapeId="0">
      <text>
        <t>Formule de pilotage. Les données réelles restent vides avant saisie.</t>
      </text>
    </comment>
    <comment ref="N34" authorId="0" shapeId="0">
      <text>
        <t>Formule de pilotage. Les données réelles restent vides avant saisie.</t>
      </text>
    </comment>
    <comment ref="O34" authorId="0" shapeId="0">
      <text>
        <t>Formule de pilotage. Les données réelles restent vides avant saisie.</t>
      </text>
    </comment>
    <comment ref="H35" authorId="0" shapeId="0">
      <text>
        <t>Formule de pilotage. Les données réelles restent vides avant saisie.</t>
      </text>
    </comment>
    <comment ref="I35" authorId="0" shapeId="0">
      <text>
        <t>Formule de pilotage. Les données réelles restent vides avant saisie.</t>
      </text>
    </comment>
    <comment ref="J35" authorId="0" shapeId="0">
      <text>
        <t>Formule de pilotage. Les données réelles restent vides avant saisie.</t>
      </text>
    </comment>
    <comment ref="N35" authorId="0" shapeId="0">
      <text>
        <t>Formule de pilotage. Les données réelles restent vides avant saisie.</t>
      </text>
    </comment>
    <comment ref="O35" authorId="0" shapeId="0">
      <text>
        <t>Formule de pilotage. Les données réelles restent vides avant saisie.</t>
      </text>
    </comment>
    <comment ref="H36" authorId="0" shapeId="0">
      <text>
        <t>Formule de pilotage. Les données réelles restent vides avant saisie.</t>
      </text>
    </comment>
    <comment ref="I36" authorId="0" shapeId="0">
      <text>
        <t>Formule de pilotage. Les données réelles restent vides avant saisie.</t>
      </text>
    </comment>
    <comment ref="J36" authorId="0" shapeId="0">
      <text>
        <t>Formule de pilotage. Les données réelles restent vides avant saisie.</t>
      </text>
    </comment>
    <comment ref="N36" authorId="0" shapeId="0">
      <text>
        <t>Formule de pilotage. Les données réelles restent vides avant saisie.</t>
      </text>
    </comment>
    <comment ref="O36" authorId="0" shapeId="0">
      <text>
        <t>Formule de pilotage. Les données réelles restent vides avant saisie.</t>
      </text>
    </comment>
    <comment ref="H37" authorId="0" shapeId="0">
      <text>
        <t>Formule de pilotage. Les données réelles restent vides avant saisie.</t>
      </text>
    </comment>
    <comment ref="I37" authorId="0" shapeId="0">
      <text>
        <t>Formule de pilotage. Les données réelles restent vides avant saisie.</t>
      </text>
    </comment>
    <comment ref="J37" authorId="0" shapeId="0">
      <text>
        <t>Formule de pilotage. Les données réelles restent vides avant saisie.</t>
      </text>
    </comment>
    <comment ref="N37" authorId="0" shapeId="0">
      <text>
        <t>Formule de pilotage. Les données réelles restent vides avant saisie.</t>
      </text>
    </comment>
    <comment ref="O37" authorId="0" shapeId="0">
      <text>
        <t>Formule de pilotage. Les données réelles restent vides avant saisie.</t>
      </text>
    </comment>
    <comment ref="H38" authorId="0" shapeId="0">
      <text>
        <t>Formule de pilotage. Les données réelles restent vides avant saisie.</t>
      </text>
    </comment>
    <comment ref="I38" authorId="0" shapeId="0">
      <text>
        <t>Formule de pilotage. Les données réelles restent vides avant saisie.</t>
      </text>
    </comment>
    <comment ref="J38" authorId="0" shapeId="0">
      <text>
        <t>Formule de pilotage. Les données réelles restent vides avant saisie.</t>
      </text>
    </comment>
    <comment ref="N38" authorId="0" shapeId="0">
      <text>
        <t>Formule de pilotage. Les données réelles restent vides avant saisie.</t>
      </text>
    </comment>
    <comment ref="O38" authorId="0" shapeId="0">
      <text>
        <t>Formule de pilotage. Les données réelles restent vides avant saisie.</t>
      </text>
    </comment>
  </commentList>
</comments>
</file>

<file path=xl/comments/comment7.xml><?xml version="1.0" encoding="utf-8"?>
<comments xmlns="http://schemas.openxmlformats.org/spreadsheetml/2006/main">
  <authors>
    <author>Farès Benamar</author>
  </authors>
  <commentList>
    <comment ref="G7" authorId="0" shapeId="0">
      <text>
        <t>Formule de pilotage. Les données réelles restent vides avant saisie.</t>
      </text>
    </comment>
    <comment ref="H7" authorId="0" shapeId="0">
      <text>
        <t>Formule de pilotage. Les données réelles restent vides avant saisie.</t>
      </text>
    </comment>
    <comment ref="I7" authorId="0" shapeId="0">
      <text>
        <t>Formule de pilotage. Les données réelles restent vides avant saisie.</t>
      </text>
    </comment>
    <comment ref="J7" authorId="0" shapeId="0">
      <text>
        <t>Formule de pilotage. Les données réelles restent vides avant saisie.</t>
      </text>
    </comment>
    <comment ref="K7" authorId="0" shapeId="0">
      <text>
        <t>Formule de pilotage. Les données réelles restent vides avant saisie.</t>
      </text>
    </comment>
    <comment ref="L7" authorId="0" shapeId="0">
      <text>
        <t>Formule de pilotage. Les données réelles restent vides avant saisie.</t>
      </text>
    </comment>
    <comment ref="M7" authorId="0" shapeId="0">
      <text>
        <t>Formule de pilotage. Les données réelles restent vides avant saisie.</t>
      </text>
    </comment>
    <comment ref="N7" authorId="0" shapeId="0">
      <text>
        <t>Formule de pilotage. Les données réelles restent vides avant saisie.</t>
      </text>
    </comment>
    <comment ref="O7" authorId="0" shapeId="0">
      <text>
        <t>Formule de pilotage. Les données réelles restent vides avant saisie.</t>
      </text>
    </comment>
    <comment ref="P7" authorId="0" shapeId="0">
      <text>
        <t>Formule de pilotage. Les données réelles restent vides avant saisie.</t>
      </text>
    </comment>
    <comment ref="A8" authorId="0" shapeId="0">
      <text>
        <t>Formule de pilotage. Les données réelles restent vides avant saisie.</t>
      </text>
    </comment>
    <comment ref="B8" authorId="0" shapeId="0">
      <text>
        <t>Formule de pilotage. Les données réelles restent vides avant saisie.</t>
      </text>
    </comment>
    <comment ref="C8" authorId="0" shapeId="0">
      <text>
        <t>Formule de pilotage. Les données réelles restent vides avant saisie.</t>
      </text>
    </comment>
    <comment ref="D8" authorId="0" shapeId="0">
      <text>
        <t>Formule de pilotage. Les données réelles restent vides avant saisie.</t>
      </text>
    </comment>
    <comment ref="E8" authorId="0" shapeId="0">
      <text>
        <t>Formule de pilotage. Les données réelles restent vides avant saisie.</t>
      </text>
    </comment>
    <comment ref="F8" authorId="0" shapeId="0">
      <text>
        <t>Formule de pilotage. Les données réelles restent vides avant saisie.</t>
      </text>
    </comment>
    <comment ref="A9" authorId="0" shapeId="0">
      <text>
        <t>Formule de pilotage. Les données réelles restent vides avant saisie.</t>
      </text>
    </comment>
    <comment ref="B9" authorId="0" shapeId="0">
      <text>
        <t>Formule de pilotage. Les données réelles restent vides avant saisie.</t>
      </text>
    </comment>
    <comment ref="C9" authorId="0" shapeId="0">
      <text>
        <t>Formule de pilotage. Les données réelles restent vides avant saisie.</t>
      </text>
    </comment>
    <comment ref="D9" authorId="0" shapeId="0">
      <text>
        <t>Formule de pilotage. Les données réelles restent vides avant saisie.</t>
      </text>
    </comment>
    <comment ref="E9" authorId="0" shapeId="0">
      <text>
        <t>Formule de pilotage. Les données réelles restent vides avant saisie.</t>
      </text>
    </comment>
    <comment ref="F9" authorId="0" shapeId="0">
      <text>
        <t>Formule de pilotage. Les données réelles restent vides avant saisie.</t>
      </text>
    </comment>
    <comment ref="A10" authorId="0" shapeId="0">
      <text>
        <t>Formule de pilotage. Les données réelles restent vides avant saisie.</t>
      </text>
    </comment>
    <comment ref="B10" authorId="0" shapeId="0">
      <text>
        <t>Formule de pilotage. Les données réelles restent vides avant saisie.</t>
      </text>
    </comment>
    <comment ref="C10" authorId="0" shapeId="0">
      <text>
        <t>Formule de pilotage. Les données réelles restent vides avant saisie.</t>
      </text>
    </comment>
    <comment ref="D10" authorId="0" shapeId="0">
      <text>
        <t>Formule de pilotage. Les données réelles restent vides avant saisie.</t>
      </text>
    </comment>
    <comment ref="E10" authorId="0" shapeId="0">
      <text>
        <t>Formule de pilotage. Les données réelles restent vides avant saisie.</t>
      </text>
    </comment>
    <comment ref="F10" authorId="0" shapeId="0">
      <text>
        <t>Formule de pilotage. Les données réelles restent vides avant saisie.</t>
      </text>
    </comment>
    <comment ref="A11" authorId="0" shapeId="0">
      <text>
        <t>Formule de pilotage. Les données réelles restent vides avant saisie.</t>
      </text>
    </comment>
    <comment ref="B11" authorId="0" shapeId="0">
      <text>
        <t>Formule de pilotage. Les données réelles restent vides avant saisie.</t>
      </text>
    </comment>
    <comment ref="C11" authorId="0" shapeId="0">
      <text>
        <t>Formule de pilotage. Les données réelles restent vides avant saisie.</t>
      </text>
    </comment>
    <comment ref="D11" authorId="0" shapeId="0">
      <text>
        <t>Formule de pilotage. Les données réelles restent vides avant saisie.</t>
      </text>
    </comment>
    <comment ref="E11" authorId="0" shapeId="0">
      <text>
        <t>Formule de pilotage. Les données réelles restent vides avant saisie.</t>
      </text>
    </comment>
    <comment ref="F11" authorId="0" shapeId="0">
      <text>
        <t>Formule de pilotage. Les données réelles restent vides avant saisie.</t>
      </text>
    </comment>
    <comment ref="A12" authorId="0" shapeId="0">
      <text>
        <t>Formule de pilotage. Les données réelles restent vides avant saisie.</t>
      </text>
    </comment>
    <comment ref="B12" authorId="0" shapeId="0">
      <text>
        <t>Formule de pilotage. Les données réelles restent vides avant saisie.</t>
      </text>
    </comment>
    <comment ref="C12" authorId="0" shapeId="0">
      <text>
        <t>Formule de pilotage. Les données réelles restent vides avant saisie.</t>
      </text>
    </comment>
    <comment ref="D12" authorId="0" shapeId="0">
      <text>
        <t>Formule de pilotage. Les données réelles restent vides avant saisie.</t>
      </text>
    </comment>
    <comment ref="E12" authorId="0" shapeId="0">
      <text>
        <t>Formule de pilotage. Les données réelles restent vides avant saisie.</t>
      </text>
    </comment>
    <comment ref="F12" authorId="0" shapeId="0">
      <text>
        <t>Formule de pilotage. Les données réelles restent vides avant saisie.</t>
      </text>
    </comment>
    <comment ref="A13" authorId="0" shapeId="0">
      <text>
        <t>Formule de pilotage. Les données réelles restent vides avant saisie.</t>
      </text>
    </comment>
    <comment ref="B13" authorId="0" shapeId="0">
      <text>
        <t>Formule de pilotage. Les données réelles restent vides avant saisie.</t>
      </text>
    </comment>
    <comment ref="C13" authorId="0" shapeId="0">
      <text>
        <t>Formule de pilotage. Les données réelles restent vides avant saisie.</t>
      </text>
    </comment>
    <comment ref="D13" authorId="0" shapeId="0">
      <text>
        <t>Formule de pilotage. Les données réelles restent vides avant saisie.</t>
      </text>
    </comment>
    <comment ref="E13" authorId="0" shapeId="0">
      <text>
        <t>Formule de pilotage. Les données réelles restent vides avant saisie.</t>
      </text>
    </comment>
    <comment ref="F13" authorId="0" shapeId="0">
      <text>
        <t>Formule de pilotage. Les données réelles restent vides avant saisie.</t>
      </text>
    </comment>
    <comment ref="A14" authorId="0" shapeId="0">
      <text>
        <t>Formule de pilotage. Les données réelles restent vides avant saisie.</t>
      </text>
    </comment>
    <comment ref="B14" authorId="0" shapeId="0">
      <text>
        <t>Formule de pilotage. Les données réelles restent vides avant saisie.</t>
      </text>
    </comment>
    <comment ref="C14" authorId="0" shapeId="0">
      <text>
        <t>Formule de pilotage. Les données réelles restent vides avant saisie.</t>
      </text>
    </comment>
    <comment ref="D14" authorId="0" shapeId="0">
      <text>
        <t>Formule de pilotage. Les données réelles restent vides avant saisie.</t>
      </text>
    </comment>
    <comment ref="E14" authorId="0" shapeId="0">
      <text>
        <t>Formule de pilotage. Les données réelles restent vides avant saisie.</t>
      </text>
    </comment>
    <comment ref="F14" authorId="0" shapeId="0">
      <text>
        <t>Formule de pilotage. Les données réelles restent vides avant saisie.</t>
      </text>
    </comment>
    <comment ref="A15" authorId="0" shapeId="0">
      <text>
        <t>Formule de pilotage. Les données réelles restent vides avant saisie.</t>
      </text>
    </comment>
    <comment ref="B15" authorId="0" shapeId="0">
      <text>
        <t>Formule de pilotage. Les données réelles restent vides avant saisie.</t>
      </text>
    </comment>
    <comment ref="C15" authorId="0" shapeId="0">
      <text>
        <t>Formule de pilotage. Les données réelles restent vides avant saisie.</t>
      </text>
    </comment>
    <comment ref="D15" authorId="0" shapeId="0">
      <text>
        <t>Formule de pilotage. Les données réelles restent vides avant saisie.</t>
      </text>
    </comment>
    <comment ref="E15" authorId="0" shapeId="0">
      <text>
        <t>Formule de pilotage. Les données réelles restent vides avant saisie.</t>
      </text>
    </comment>
    <comment ref="F15" authorId="0" shapeId="0">
      <text>
        <t>Formule de pilotage. Les données réelles restent vides avant saisie.</t>
      </text>
    </comment>
    <comment ref="A16" authorId="0" shapeId="0">
      <text>
        <t>Formule de pilotage. Les données réelles restent vides avant saisie.</t>
      </text>
    </comment>
    <comment ref="B16" authorId="0" shapeId="0">
      <text>
        <t>Formule de pilotage. Les données réelles restent vides avant saisie.</t>
      </text>
    </comment>
    <comment ref="C16" authorId="0" shapeId="0">
      <text>
        <t>Formule de pilotage. Les données réelles restent vides avant saisie.</t>
      </text>
    </comment>
    <comment ref="D16" authorId="0" shapeId="0">
      <text>
        <t>Formule de pilotage. Les données réelles restent vides avant saisie.</t>
      </text>
    </comment>
    <comment ref="E16" authorId="0" shapeId="0">
      <text>
        <t>Formule de pilotage. Les données réelles restent vides avant saisie.</t>
      </text>
    </comment>
    <comment ref="F16" authorId="0" shapeId="0">
      <text>
        <t>Formule de pilotage. Les données réelles restent vides avant saisie.</t>
      </text>
    </comment>
    <comment ref="A17" authorId="0" shapeId="0">
      <text>
        <t>Formule de pilotage. Les données réelles restent vides avant saisie.</t>
      </text>
    </comment>
    <comment ref="B17" authorId="0" shapeId="0">
      <text>
        <t>Formule de pilotage. Les données réelles restent vides avant saisie.</t>
      </text>
    </comment>
    <comment ref="C17" authorId="0" shapeId="0">
      <text>
        <t>Formule de pilotage. Les données réelles restent vides avant saisie.</t>
      </text>
    </comment>
    <comment ref="D17" authorId="0" shapeId="0">
      <text>
        <t>Formule de pilotage. Les données réelles restent vides avant saisie.</t>
      </text>
    </comment>
    <comment ref="E17" authorId="0" shapeId="0">
      <text>
        <t>Formule de pilotage. Les données réelles restent vides avant saisie.</t>
      </text>
    </comment>
    <comment ref="F17" authorId="0" shapeId="0">
      <text>
        <t>Formule de pilotage. Les données réelles restent vides avant saisie.</t>
      </text>
    </comment>
    <comment ref="A18" authorId="0" shapeId="0">
      <text>
        <t>Formule de pilotage. Les données réelles restent vides avant saisie.</t>
      </text>
    </comment>
    <comment ref="B18" authorId="0" shapeId="0">
      <text>
        <t>Formule de pilotage. Les données réelles restent vides avant saisie.</t>
      </text>
    </comment>
    <comment ref="C18" authorId="0" shapeId="0">
      <text>
        <t>Formule de pilotage. Les données réelles restent vides avant saisie.</t>
      </text>
    </comment>
    <comment ref="D18" authorId="0" shapeId="0">
      <text>
        <t>Formule de pilotage. Les données réelles restent vides avant saisie.</t>
      </text>
    </comment>
    <comment ref="E18" authorId="0" shapeId="0">
      <text>
        <t>Formule de pilotage. Les données réelles restent vides avant saisie.</t>
      </text>
    </comment>
    <comment ref="F18" authorId="0" shapeId="0">
      <text>
        <t>Formule de pilotage. Les données réelles restent vides avant saisie.</t>
      </text>
    </comment>
    <comment ref="A19" authorId="0" shapeId="0">
      <text>
        <t>Formule de pilotage. Les données réelles restent vides avant saisie.</t>
      </text>
    </comment>
    <comment ref="B19" authorId="0" shapeId="0">
      <text>
        <t>Formule de pilotage. Les données réelles restent vides avant saisie.</t>
      </text>
    </comment>
    <comment ref="C19" authorId="0" shapeId="0">
      <text>
        <t>Formule de pilotage. Les données réelles restent vides avant saisie.</t>
      </text>
    </comment>
    <comment ref="D19" authorId="0" shapeId="0">
      <text>
        <t>Formule de pilotage. Les données réelles restent vides avant saisie.</t>
      </text>
    </comment>
    <comment ref="E19" authorId="0" shapeId="0">
      <text>
        <t>Formule de pilotage. Les données réelles restent vides avant saisie.</t>
      </text>
    </comment>
    <comment ref="F19" authorId="0" shapeId="0">
      <text>
        <t>Formule de pilotage. Les données réelles restent vides avant saisie.</t>
      </text>
    </comment>
    <comment ref="A20" authorId="0" shapeId="0">
      <text>
        <t>Formule de pilotage. Les données réelles restent vides avant saisie.</t>
      </text>
    </comment>
    <comment ref="B20" authorId="0" shapeId="0">
      <text>
        <t>Formule de pilotage. Les données réelles restent vides avant saisie.</t>
      </text>
    </comment>
    <comment ref="C20" authorId="0" shapeId="0">
      <text>
        <t>Formule de pilotage. Les données réelles restent vides avant saisie.</t>
      </text>
    </comment>
    <comment ref="D20" authorId="0" shapeId="0">
      <text>
        <t>Formule de pilotage. Les données réelles restent vides avant saisie.</t>
      </text>
    </comment>
    <comment ref="E20" authorId="0" shapeId="0">
      <text>
        <t>Formule de pilotage. Les données réelles restent vides avant saisie.</t>
      </text>
    </comment>
    <comment ref="F20" authorId="0" shapeId="0">
      <text>
        <t>Formule de pilotage. Les données réelles restent vides avant saisie.</t>
      </text>
    </comment>
    <comment ref="A21" authorId="0" shapeId="0">
      <text>
        <t>Formule de pilotage. Les données réelles restent vides avant saisie.</t>
      </text>
    </comment>
    <comment ref="B21" authorId="0" shapeId="0">
      <text>
        <t>Formule de pilotage. Les données réelles restent vides avant saisie.</t>
      </text>
    </comment>
    <comment ref="C21" authorId="0" shapeId="0">
      <text>
        <t>Formule de pilotage. Les données réelles restent vides avant saisie.</t>
      </text>
    </comment>
    <comment ref="D21" authorId="0" shapeId="0">
      <text>
        <t>Formule de pilotage. Les données réelles restent vides avant saisie.</t>
      </text>
    </comment>
    <comment ref="E21" authorId="0" shapeId="0">
      <text>
        <t>Formule de pilotage. Les données réelles restent vides avant saisie.</t>
      </text>
    </comment>
    <comment ref="F21" authorId="0" shapeId="0">
      <text>
        <t>Formule de pilotage. Les données réelles restent vides avant saisie.</t>
      </text>
    </comment>
    <comment ref="A22" authorId="0" shapeId="0">
      <text>
        <t>Formule de pilotage. Les données réelles restent vides avant saisie.</t>
      </text>
    </comment>
    <comment ref="B22" authorId="0" shapeId="0">
      <text>
        <t>Formule de pilotage. Les données réelles restent vides avant saisie.</t>
      </text>
    </comment>
    <comment ref="C22" authorId="0" shapeId="0">
      <text>
        <t>Formule de pilotage. Les données réelles restent vides avant saisie.</t>
      </text>
    </comment>
    <comment ref="D22" authorId="0" shapeId="0">
      <text>
        <t>Formule de pilotage. Les données réelles restent vides avant saisie.</t>
      </text>
    </comment>
    <comment ref="E22" authorId="0" shapeId="0">
      <text>
        <t>Formule de pilotage. Les données réelles restent vides avant saisie.</t>
      </text>
    </comment>
    <comment ref="F22" authorId="0" shapeId="0">
      <text>
        <t>Formule de pilotage. Les données réelles restent vides avant saisie.</t>
      </text>
    </comment>
    <comment ref="A23" authorId="0" shapeId="0">
      <text>
        <t>Formule de pilotage. Les données réelles restent vides avant saisie.</t>
      </text>
    </comment>
    <comment ref="B23" authorId="0" shapeId="0">
      <text>
        <t>Formule de pilotage. Les données réelles restent vides avant saisie.</t>
      </text>
    </comment>
    <comment ref="C23" authorId="0" shapeId="0">
      <text>
        <t>Formule de pilotage. Les données réelles restent vides avant saisie.</t>
      </text>
    </comment>
    <comment ref="D23" authorId="0" shapeId="0">
      <text>
        <t>Formule de pilotage. Les données réelles restent vides avant saisie.</t>
      </text>
    </comment>
    <comment ref="E23" authorId="0" shapeId="0">
      <text>
        <t>Formule de pilotage. Les données réelles restent vides avant saisie.</t>
      </text>
    </comment>
    <comment ref="F23" authorId="0" shapeId="0">
      <text>
        <t>Formule de pilotage. Les données réelles restent vides avant saisie.</t>
      </text>
    </comment>
    <comment ref="A24" authorId="0" shapeId="0">
      <text>
        <t>Formule de pilotage. Les données réelles restent vides avant saisie.</t>
      </text>
    </comment>
    <comment ref="B24" authorId="0" shapeId="0">
      <text>
        <t>Formule de pilotage. Les données réelles restent vides avant saisie.</t>
      </text>
    </comment>
    <comment ref="C24" authorId="0" shapeId="0">
      <text>
        <t>Formule de pilotage. Les données réelles restent vides avant saisie.</t>
      </text>
    </comment>
    <comment ref="D24" authorId="0" shapeId="0">
      <text>
        <t>Formule de pilotage. Les données réelles restent vides avant saisie.</t>
      </text>
    </comment>
    <comment ref="E24" authorId="0" shapeId="0">
      <text>
        <t>Formule de pilotage. Les données réelles restent vides avant saisie.</t>
      </text>
    </comment>
    <comment ref="F24" authorId="0" shapeId="0">
      <text>
        <t>Formule de pilotage. Les données réelles restent vides avant saisie.</t>
      </text>
    </comment>
    <comment ref="A25" authorId="0" shapeId="0">
      <text>
        <t>Formule de pilotage. Les données réelles restent vides avant saisie.</t>
      </text>
    </comment>
    <comment ref="B25" authorId="0" shapeId="0">
      <text>
        <t>Formule de pilotage. Les données réelles restent vides avant saisie.</t>
      </text>
    </comment>
    <comment ref="C25" authorId="0" shapeId="0">
      <text>
        <t>Formule de pilotage. Les données réelles restent vides avant saisie.</t>
      </text>
    </comment>
    <comment ref="D25" authorId="0" shapeId="0">
      <text>
        <t>Formule de pilotage. Les données réelles restent vides avant saisie.</t>
      </text>
    </comment>
    <comment ref="E25" authorId="0" shapeId="0">
      <text>
        <t>Formule de pilotage. Les données réelles restent vides avant saisie.</t>
      </text>
    </comment>
    <comment ref="F25" authorId="0" shapeId="0">
      <text>
        <t>Formule de pilotage. Les données réelles restent vides avant saisie.</t>
      </text>
    </comment>
    <comment ref="A26" authorId="0" shapeId="0">
      <text>
        <t>Formule de pilotage. Les données réelles restent vides avant saisie.</t>
      </text>
    </comment>
    <comment ref="B26" authorId="0" shapeId="0">
      <text>
        <t>Formule de pilotage. Les données réelles restent vides avant saisie.</t>
      </text>
    </comment>
    <comment ref="C26" authorId="0" shapeId="0">
      <text>
        <t>Formule de pilotage. Les données réelles restent vides avant saisie.</t>
      </text>
    </comment>
    <comment ref="D26" authorId="0" shapeId="0">
      <text>
        <t>Formule de pilotage. Les données réelles restent vides avant saisie.</t>
      </text>
    </comment>
    <comment ref="E26" authorId="0" shapeId="0">
      <text>
        <t>Formule de pilotage. Les données réelles restent vides avant saisie.</t>
      </text>
    </comment>
    <comment ref="F26" authorId="0" shapeId="0">
      <text>
        <t>Formule de pilotage. Les données réelles restent vides avant saisie.</t>
      </text>
    </comment>
    <comment ref="A27" authorId="0" shapeId="0">
      <text>
        <t>Formule de pilotage. Les données réelles restent vides avant saisie.</t>
      </text>
    </comment>
    <comment ref="B27" authorId="0" shapeId="0">
      <text>
        <t>Formule de pilotage. Les données réelles restent vides avant saisie.</t>
      </text>
    </comment>
    <comment ref="C27" authorId="0" shapeId="0">
      <text>
        <t>Formule de pilotage. Les données réelles restent vides avant saisie.</t>
      </text>
    </comment>
    <comment ref="D27" authorId="0" shapeId="0">
      <text>
        <t>Formule de pilotage. Les données réelles restent vides avant saisie.</t>
      </text>
    </comment>
    <comment ref="E27" authorId="0" shapeId="0">
      <text>
        <t>Formule de pilotage. Les données réelles restent vides avant saisie.</t>
      </text>
    </comment>
    <comment ref="F27" authorId="0" shapeId="0">
      <text>
        <t>Formule de pilotage. Les données réelles restent vides avant saisie.</t>
      </text>
    </comment>
    <comment ref="A28" authorId="0" shapeId="0">
      <text>
        <t>Formule de pilotage. Les données réelles restent vides avant saisie.</t>
      </text>
    </comment>
    <comment ref="B28" authorId="0" shapeId="0">
      <text>
        <t>Formule de pilotage. Les données réelles restent vides avant saisie.</t>
      </text>
    </comment>
    <comment ref="C28" authorId="0" shapeId="0">
      <text>
        <t>Formule de pilotage. Les données réelles restent vides avant saisie.</t>
      </text>
    </comment>
    <comment ref="D28" authorId="0" shapeId="0">
      <text>
        <t>Formule de pilotage. Les données réelles restent vides avant saisie.</t>
      </text>
    </comment>
    <comment ref="E28" authorId="0" shapeId="0">
      <text>
        <t>Formule de pilotage. Les données réelles restent vides avant saisie.</t>
      </text>
    </comment>
    <comment ref="F28" authorId="0" shapeId="0">
      <text>
        <t>Formule de pilotage. Les données réelles restent vides avant saisie.</t>
      </text>
    </comment>
    <comment ref="A29" authorId="0" shapeId="0">
      <text>
        <t>Formule de pilotage. Les données réelles restent vides avant saisie.</t>
      </text>
    </comment>
    <comment ref="B29" authorId="0" shapeId="0">
      <text>
        <t>Formule de pilotage. Les données réelles restent vides avant saisie.</t>
      </text>
    </comment>
    <comment ref="C29" authorId="0" shapeId="0">
      <text>
        <t>Formule de pilotage. Les données réelles restent vides avant saisie.</t>
      </text>
    </comment>
    <comment ref="D29" authorId="0" shapeId="0">
      <text>
        <t>Formule de pilotage. Les données réelles restent vides avant saisie.</t>
      </text>
    </comment>
    <comment ref="E29" authorId="0" shapeId="0">
      <text>
        <t>Formule de pilotage. Les données réelles restent vides avant saisie.</t>
      </text>
    </comment>
    <comment ref="F29" authorId="0" shapeId="0">
      <text>
        <t>Formule de pilotage. Les données réelles restent vides avant saisie.</t>
      </text>
    </comment>
    <comment ref="A30" authorId="0" shapeId="0">
      <text>
        <t>Formule de pilotage. Les données réelles restent vides avant saisie.</t>
      </text>
    </comment>
    <comment ref="B30" authorId="0" shapeId="0">
      <text>
        <t>Formule de pilotage. Les données réelles restent vides avant saisie.</t>
      </text>
    </comment>
    <comment ref="C30" authorId="0" shapeId="0">
      <text>
        <t>Formule de pilotage. Les données réelles restent vides avant saisie.</t>
      </text>
    </comment>
    <comment ref="D30" authorId="0" shapeId="0">
      <text>
        <t>Formule de pilotage. Les données réelles restent vides avant saisie.</t>
      </text>
    </comment>
    <comment ref="E30" authorId="0" shapeId="0">
      <text>
        <t>Formule de pilotage. Les données réelles restent vides avant saisie.</t>
      </text>
    </comment>
    <comment ref="F30" authorId="0" shapeId="0">
      <text>
        <t>Formule de pilotage. Les données réelles restent vides avant saisie.</t>
      </text>
    </comment>
    <comment ref="A31" authorId="0" shapeId="0">
      <text>
        <t>Formule de pilotage. Les données réelles restent vides avant saisie.</t>
      </text>
    </comment>
    <comment ref="B31" authorId="0" shapeId="0">
      <text>
        <t>Formule de pilotage. Les données réelles restent vides avant saisie.</t>
      </text>
    </comment>
    <comment ref="C31" authorId="0" shapeId="0">
      <text>
        <t>Formule de pilotage. Les données réelles restent vides avant saisie.</t>
      </text>
    </comment>
    <comment ref="D31" authorId="0" shapeId="0">
      <text>
        <t>Formule de pilotage. Les données réelles restent vides avant saisie.</t>
      </text>
    </comment>
    <comment ref="E31" authorId="0" shapeId="0">
      <text>
        <t>Formule de pilotage. Les données réelles restent vides avant saisie.</t>
      </text>
    </comment>
    <comment ref="F31" authorId="0" shapeId="0">
      <text>
        <t>Formule de pilotage. Les données réelles restent vides avant saisie.</t>
      </text>
    </comment>
    <comment ref="A32" authorId="0" shapeId="0">
      <text>
        <t>Formule de pilotage. Les données réelles restent vides avant saisie.</t>
      </text>
    </comment>
    <comment ref="B32" authorId="0" shapeId="0">
      <text>
        <t>Formule de pilotage. Les données réelles restent vides avant saisie.</t>
      </text>
    </comment>
    <comment ref="C32" authorId="0" shapeId="0">
      <text>
        <t>Formule de pilotage. Les données réelles restent vides avant saisie.</t>
      </text>
    </comment>
    <comment ref="D32" authorId="0" shapeId="0">
      <text>
        <t>Formule de pilotage. Les données réelles restent vides avant saisie.</t>
      </text>
    </comment>
    <comment ref="E32" authorId="0" shapeId="0">
      <text>
        <t>Formule de pilotage. Les données réelles restent vides avant saisie.</t>
      </text>
    </comment>
    <comment ref="F32" authorId="0" shapeId="0">
      <text>
        <t>Formule de pilotage. Les données réelles restent vides avant saisie.</t>
      </text>
    </comment>
    <comment ref="A33" authorId="0" shapeId="0">
      <text>
        <t>Formule de pilotage. Les données réelles restent vides avant saisie.</t>
      </text>
    </comment>
    <comment ref="B33" authorId="0" shapeId="0">
      <text>
        <t>Formule de pilotage. Les données réelles restent vides avant saisie.</t>
      </text>
    </comment>
    <comment ref="C33" authorId="0" shapeId="0">
      <text>
        <t>Formule de pilotage. Les données réelles restent vides avant saisie.</t>
      </text>
    </comment>
    <comment ref="D33" authorId="0" shapeId="0">
      <text>
        <t>Formule de pilotage. Les données réelles restent vides avant saisie.</t>
      </text>
    </comment>
    <comment ref="E33" authorId="0" shapeId="0">
      <text>
        <t>Formule de pilotage. Les données réelles restent vides avant saisie.</t>
      </text>
    </comment>
    <comment ref="F33" authorId="0" shapeId="0">
      <text>
        <t>Formule de pilotage. Les données réelles restent vides avant saisie.</t>
      </text>
    </comment>
    <comment ref="A34" authorId="0" shapeId="0">
      <text>
        <t>Formule de pilotage. Les données réelles restent vides avant saisie.</t>
      </text>
    </comment>
    <comment ref="B34" authorId="0" shapeId="0">
      <text>
        <t>Formule de pilotage. Les données réelles restent vides avant saisie.</t>
      </text>
    </comment>
    <comment ref="C34" authorId="0" shapeId="0">
      <text>
        <t>Formule de pilotage. Les données réelles restent vides avant saisie.</t>
      </text>
    </comment>
    <comment ref="D34" authorId="0" shapeId="0">
      <text>
        <t>Formule de pilotage. Les données réelles restent vides avant saisie.</t>
      </text>
    </comment>
    <comment ref="E34" authorId="0" shapeId="0">
      <text>
        <t>Formule de pilotage. Les données réelles restent vides avant saisie.</t>
      </text>
    </comment>
    <comment ref="F34" authorId="0" shapeId="0">
      <text>
        <t>Formule de pilotage. Les données réelles restent vides avant saisie.</t>
      </text>
    </comment>
    <comment ref="A35" authorId="0" shapeId="0">
      <text>
        <t>Formule de pilotage. Les données réelles restent vides avant saisie.</t>
      </text>
    </comment>
    <comment ref="B35" authorId="0" shapeId="0">
      <text>
        <t>Formule de pilotage. Les données réelles restent vides avant saisie.</t>
      </text>
    </comment>
    <comment ref="C35" authorId="0" shapeId="0">
      <text>
        <t>Formule de pilotage. Les données réelles restent vides avant saisie.</t>
      </text>
    </comment>
    <comment ref="D35" authorId="0" shapeId="0">
      <text>
        <t>Formule de pilotage. Les données réelles restent vides avant saisie.</t>
      </text>
    </comment>
    <comment ref="E35" authorId="0" shapeId="0">
      <text>
        <t>Formule de pilotage. Les données réelles restent vides avant saisie.</t>
      </text>
    </comment>
    <comment ref="F35" authorId="0" shapeId="0">
      <text>
        <t>Formule de pilotage. Les données réelles restent vides avant saisie.</t>
      </text>
    </comment>
    <comment ref="A36" authorId="0" shapeId="0">
      <text>
        <t>Formule de pilotage. Les données réelles restent vides avant saisie.</t>
      </text>
    </comment>
    <comment ref="B36" authorId="0" shapeId="0">
      <text>
        <t>Formule de pilotage. Les données réelles restent vides avant saisie.</t>
      </text>
    </comment>
    <comment ref="C36" authorId="0" shapeId="0">
      <text>
        <t>Formule de pilotage. Les données réelles restent vides avant saisie.</t>
      </text>
    </comment>
    <comment ref="D36" authorId="0" shapeId="0">
      <text>
        <t>Formule de pilotage. Les données réelles restent vides avant saisie.</t>
      </text>
    </comment>
    <comment ref="E36" authorId="0" shapeId="0">
      <text>
        <t>Formule de pilotage. Les données réelles restent vides avant saisie.</t>
      </text>
    </comment>
    <comment ref="F36" authorId="0" shapeId="0">
      <text>
        <t>Formule de pilotage. Les données réelles restent vides avant saisie.</t>
      </text>
    </comment>
    <comment ref="A37" authorId="0" shapeId="0">
      <text>
        <t>Formule de pilotage. Les données réelles restent vides avant saisie.</t>
      </text>
    </comment>
    <comment ref="B37" authorId="0" shapeId="0">
      <text>
        <t>Formule de pilotage. Les données réelles restent vides avant saisie.</t>
      </text>
    </comment>
    <comment ref="C37" authorId="0" shapeId="0">
      <text>
        <t>Formule de pilotage. Les données réelles restent vides avant saisie.</t>
      </text>
    </comment>
    <comment ref="D37" authorId="0" shapeId="0">
      <text>
        <t>Formule de pilotage. Les données réelles restent vides avant saisie.</t>
      </text>
    </comment>
    <comment ref="E37" authorId="0" shapeId="0">
      <text>
        <t>Formule de pilotage. Les données réelles restent vides avant saisie.</t>
      </text>
    </comment>
    <comment ref="F37" authorId="0" shapeId="0">
      <text>
        <t>Formule de pilotage. Les données réelles restent vides avant saisie.</t>
      </text>
    </comment>
    <comment ref="A38" authorId="0" shapeId="0">
      <text>
        <t>Formule de pilotage. Les données réelles restent vides avant saisie.</t>
      </text>
    </comment>
    <comment ref="B38" authorId="0" shapeId="0">
      <text>
        <t>Formule de pilotage. Les données réelles restent vides avant saisie.</t>
      </text>
    </comment>
    <comment ref="C38" authorId="0" shapeId="0">
      <text>
        <t>Formule de pilotage. Les données réelles restent vides avant saisie.</t>
      </text>
    </comment>
    <comment ref="D38" authorId="0" shapeId="0">
      <text>
        <t>Formule de pilotage. Les données réelles restent vides avant saisie.</t>
      </text>
    </comment>
    <comment ref="E38" authorId="0" shapeId="0">
      <text>
        <t>Formule de pilotage. Les données réelles restent vides avant saisie.</t>
      </text>
    </comment>
    <comment ref="F38" authorId="0" shapeId="0">
      <text>
        <t>Formule de pilotage. Les données réelles restent vides avant saisie.</t>
      </text>
    </comment>
  </commentList>
</comments>
</file>

<file path=xl/comments/comment8.xml><?xml version="1.0" encoding="utf-8"?>
<comments xmlns="http://schemas.openxmlformats.org/spreadsheetml/2006/main">
  <authors>
    <author>Farès Benamar</author>
  </authors>
  <commentList>
    <comment ref="D8" authorId="0" shapeId="0">
      <text>
        <t>Formule de pilotage. Les données réelles restent vides avant saisie.</t>
      </text>
    </comment>
    <comment ref="D9" authorId="0" shapeId="0">
      <text>
        <t>Formule de pilotage. Les données réelles restent vides avant saisie.</t>
      </text>
    </comment>
    <comment ref="I9" authorId="0" shapeId="0">
      <text>
        <t>Formule de pilotage. Les données réelles restent vides avant saisie.</t>
      </text>
    </comment>
    <comment ref="D10" authorId="0" shapeId="0">
      <text>
        <t>Formule de pilotage. Les données réelles restent vides avant saisie.</t>
      </text>
    </comment>
    <comment ref="I10" authorId="0" shapeId="0">
      <text>
        <t>Formule de pilotage. Les données réelles restent vides avant saisie.</t>
      </text>
    </comment>
    <comment ref="D11" authorId="0" shapeId="0">
      <text>
        <t>Formule de pilotage. Les données réelles restent vides avant saisie.</t>
      </text>
    </comment>
    <comment ref="I11" authorId="0" shapeId="0">
      <text>
        <t>Formule de pilotage. Les données réelles restent vides avant saisie.</t>
      </text>
    </comment>
    <comment ref="D12" authorId="0" shapeId="0">
      <text>
        <t>Formule de pilotage. Les données réelles restent vides avant saisie.</t>
      </text>
    </comment>
    <comment ref="I12" authorId="0" shapeId="0">
      <text>
        <t>Formule de pilotage. Les données réelles restent vides avant saisie.</t>
      </text>
    </comment>
    <comment ref="D13" authorId="0" shapeId="0">
      <text>
        <t>Formule de pilotage. Les données réelles restent vides avant saisie.</t>
      </text>
    </comment>
    <comment ref="I13" authorId="0" shapeId="0">
      <text>
        <t>Formule de pilotage. Les données réelles restent vides avant saisie.</t>
      </text>
    </comment>
    <comment ref="D14" authorId="0" shapeId="0">
      <text>
        <t>Formule de pilotage. Les données réelles restent vides avant saisie.</t>
      </text>
    </comment>
    <comment ref="I14" authorId="0" shapeId="0">
      <text>
        <t>Formule de pilotage. Les données réelles restent vides avant saisie.</t>
      </text>
    </comment>
    <comment ref="D15" authorId="0" shapeId="0">
      <text>
        <t>Formule de pilotage. Les données réelles restent vides avant saisie.</t>
      </text>
    </comment>
    <comment ref="I15" authorId="0" shapeId="0">
      <text>
        <t>Formule de pilotage. Les données réelles restent vides avant saisie.</t>
      </text>
    </comment>
    <comment ref="D16" authorId="0" shapeId="0">
      <text>
        <t>Formule de pilotage. Les données réelles restent vides avant saisie.</t>
      </text>
    </comment>
    <comment ref="I16" authorId="0" shapeId="0">
      <text>
        <t>Formule de pilotage. Les données réelles restent vides avant saisie.</t>
      </text>
    </comment>
    <comment ref="D17" authorId="0" shapeId="0">
      <text>
        <t>Formule de pilotage. Les données réelles restent vides avant saisie.</t>
      </text>
    </comment>
    <comment ref="I17" authorId="0" shapeId="0">
      <text>
        <t>Formule de pilotage. Les données réelles restent vides avant saisie.</t>
      </text>
    </comment>
    <comment ref="D18" authorId="0" shapeId="0">
      <text>
        <t>Formule de pilotage. Les données réelles restent vides avant saisie.</t>
      </text>
    </comment>
    <comment ref="I18" authorId="0" shapeId="0">
      <text>
        <t>Formule de pilotage. Les données réelles restent vides avant saisie.</t>
      </text>
    </comment>
    <comment ref="D19" authorId="0" shapeId="0">
      <text>
        <t>Formule de pilotage. Les données réelles restent vides avant saisie.</t>
      </text>
    </comment>
    <comment ref="I19" authorId="0" shapeId="0">
      <text>
        <t>Formule de pilotage. Les données réelles restent vides avant saisie.</t>
      </text>
    </comment>
    <comment ref="D20" authorId="0" shapeId="0">
      <text>
        <t>Formule de pilotage. Les données réelles restent vides avant saisie.</t>
      </text>
    </comment>
    <comment ref="I20" authorId="0" shapeId="0">
      <text>
        <t>Formule de pilotage. Les données réelles restent vides avant saisie.</t>
      </text>
    </comment>
    <comment ref="D21" authorId="0" shapeId="0">
      <text>
        <t>Formule de pilotage. Les données réelles restent vides avant saisie.</t>
      </text>
    </comment>
    <comment ref="I21" authorId="0" shapeId="0">
      <text>
        <t>Formule de pilotage. Les données réelles restent vides avant saisie.</t>
      </text>
    </comment>
  </commentList>
</comments>
</file>

<file path=xl/comments/comment9.xml><?xml version="1.0" encoding="utf-8"?>
<comments xmlns="http://schemas.openxmlformats.org/spreadsheetml/2006/main">
  <authors>
    <author>Farès Benamar</author>
  </authors>
  <commentList>
    <comment ref="G8" authorId="0" shapeId="0">
      <text>
        <t>Formule de pilotage. Les données réelles restent vides avant saisie.</t>
      </text>
    </comment>
    <comment ref="G9" authorId="0" shapeId="0">
      <text>
        <t>Formule de pilotage. Les données réelles restent vides avant saisie.</t>
      </text>
    </comment>
    <comment ref="G10" authorId="0" shapeId="0">
      <text>
        <t>Formule de pilotage. Les données réelles restent vides avant saisie.</t>
      </text>
    </comment>
    <comment ref="G11" authorId="0" shapeId="0">
      <text>
        <t>Formule de pilotage. Les données réelles restent vides avant saisie.</t>
      </text>
    </comment>
    <comment ref="G12" authorId="0" shapeId="0">
      <text>
        <t>Formule de pilotage. Les données réelles restent vides avant saisie.</t>
      </text>
    </comment>
    <comment ref="G13" authorId="0" shapeId="0">
      <text>
        <t>Formule de pilotage. Les données réelles restent vides avant saisie.</t>
      </text>
    </comment>
    <comment ref="G14" authorId="0" shapeId="0">
      <text>
        <t>Formule de pilotage. Les données réelles restent vides avant saisie.</t>
      </text>
    </comment>
  </commentList>
</comments>
</file>

<file path=xl/comments/comment10.xml><?xml version="1.0" encoding="utf-8"?>
<comments xmlns="http://schemas.openxmlformats.org/spreadsheetml/2006/main">
  <authors>
    <author>Farès Benamar</author>
  </authors>
  <commentList>
    <comment ref="C8" authorId="0" shapeId="0">
      <text>
        <t>Formule de pilotage. Les données réelles restent vides avant saisie.</t>
      </text>
    </comment>
    <comment ref="C9" authorId="0" shapeId="0">
      <text>
        <t>Formule de pilotage. Les données réelles restent vides avant saisie.</t>
      </text>
    </comment>
    <comment ref="C10" authorId="0" shapeId="0">
      <text>
        <t>Formule de pilotage. Les données réelles restent vides avant saisie.</t>
      </text>
    </comment>
    <comment ref="C11" authorId="0" shapeId="0">
      <text>
        <t>Formule de pilotage. Les données réelles restent vides avant saisie.</t>
      </text>
    </comment>
    <comment ref="C12" authorId="0" shapeId="0">
      <text>
        <t>Formule de pilotage. Les données réelles restent vides avant saisie.</t>
      </text>
    </comment>
    <comment ref="C13" authorId="0" shapeId="0">
      <text>
        <t>Formule de pilotage. Les données réelles restent vides avant saisie.</t>
      </text>
    </comment>
    <comment ref="C14" authorId="0" shapeId="0">
      <text>
        <t>Formule de pilotage. Les données réelles restent vides avant saisie.</t>
      </text>
    </comment>
    <comment ref="C15" authorId="0" shapeId="0">
      <text>
        <t>Formule de pilotage. Les données réelles restent vides avant saisie.</t>
      </text>
    </comment>
    <comment ref="C16" authorId="0" shapeId="0">
      <text>
        <t>Formule de pilotage. Les données réelles restent vides avant saisie.</t>
      </text>
    </comment>
    <comment ref="C17" authorId="0" shapeId="0">
      <text>
        <t>Formule de pilotage. Les données réelles restent vides avant saisie.</t>
      </text>
    </comment>
  </commentList>
</comments>
</file>

<file path=xl/comments/comment11.xml><?xml version="1.0" encoding="utf-8"?>
<comments xmlns="http://schemas.openxmlformats.org/spreadsheetml/2006/main">
  <authors>
    <author>Farès Benamar</author>
  </authors>
  <commentList>
    <comment ref="D8" authorId="0" shapeId="0">
      <text>
        <t>Formule de pilotage. Les données réelles restent vides avant saisie.</t>
      </text>
    </comment>
    <comment ref="D9" authorId="0" shapeId="0">
      <text>
        <t>Formule de pilotage. Les données réelles restent vides avant saisie.</t>
      </text>
    </comment>
    <comment ref="D14" authorId="0" shapeId="0">
      <text>
        <t>Formule de pilotage. Les données réelles restent vides avant saisie.</t>
      </text>
    </comment>
    <comment ref="D15" authorId="0" shapeId="0">
      <text>
        <t>Formule de pilotage. Les données réelles restent vides avant saisie.</t>
      </text>
    </comment>
    <comment ref="D16" authorId="0" shapeId="0">
      <text>
        <t>Formule de pilotage. Les données réelles restent vides avant saisie.</t>
      </text>
    </comment>
    <comment ref="D17" authorId="0" shapeId="0">
      <text>
        <t>Formule de pilotage. Les données réelles restent vides avant saisie.</t>
      </text>
    </comment>
  </commentList>
</comments>
</file>

<file path=xl/comments/comment12.xml><?xml version="1.0" encoding="utf-8"?>
<comments xmlns="http://schemas.openxmlformats.org/spreadsheetml/2006/main">
  <authors>
    <author>Farès Benamar</author>
  </authors>
  <commentList>
    <comment ref="E8" authorId="0" shapeId="0">
      <text>
        <t>Formule de pilotage. Les données réelles restent vides avant saisie.</t>
      </text>
    </comment>
    <comment ref="F8" authorId="0" shapeId="0">
      <text>
        <t>Formule de pilotage. Les données réelles restent vides avant saisie.</t>
      </text>
    </comment>
    <comment ref="E9" authorId="0" shapeId="0">
      <text>
        <t>Formule de pilotage. Les données réelles restent vides avant saisie.</t>
      </text>
    </comment>
    <comment ref="F9" authorId="0" shapeId="0">
      <text>
        <t>Formule de pilotage. Les données réelles restent vides avant saisie.</t>
      </text>
    </comment>
    <comment ref="E10" authorId="0" shapeId="0">
      <text>
        <t>Formule de pilotage. Les données réelles restent vides avant saisie.</t>
      </text>
    </comment>
    <comment ref="F10" authorId="0" shapeId="0">
      <text>
        <t>Formule de pilotage. Les données réelles restent vides avant saisie.</t>
      </text>
    </comment>
    <comment ref="E11" authorId="0" shapeId="0">
      <text>
        <t>Formule de pilotage. Les données réelles restent vides avant saisie.</t>
      </text>
    </comment>
    <comment ref="F11" authorId="0" shapeId="0">
      <text>
        <t>Formule de pilotage. Les données réelles restent vides avant saisie.</t>
      </text>
    </comment>
    <comment ref="E12" authorId="0" shapeId="0">
      <text>
        <t>Formule de pilotage. Les données réelles restent vides avant saisie.</t>
      </text>
    </comment>
    <comment ref="F12" authorId="0" shapeId="0">
      <text>
        <t>Formule de pilotage. Les données réelles restent vides avant saisie.</t>
      </text>
    </comment>
    <comment ref="E13" authorId="0" shapeId="0">
      <text>
        <t>Formule de pilotage. Les données réelles restent vides avant saisie.</t>
      </text>
    </comment>
    <comment ref="F13" authorId="0" shapeId="0">
      <text>
        <t>Formule de pilotage. Les données réelles restent vides avant saisie.</t>
      </text>
    </comment>
    <comment ref="E14" authorId="0" shapeId="0">
      <text>
        <t>Formule de pilotage. Les données réelles restent vides avant saisie.</t>
      </text>
    </comment>
    <comment ref="F14" authorId="0" shapeId="0">
      <text>
        <t>Formule de pilotage. Les données réelles restent vides avant saisie.</t>
      </text>
    </comment>
    <comment ref="E15" authorId="0" shapeId="0">
      <text>
        <t>Formule de pilotage. Les données réelles restent vides avant saisie.</t>
      </text>
    </comment>
    <comment ref="F15" authorId="0" shapeId="0">
      <text>
        <t>Formule de pilotage. Les données réelles restent vides avant saisie.</t>
      </text>
    </comment>
  </commentList>
</comments>
</file>

<file path=xl/comments/comment13.xml><?xml version="1.0" encoding="utf-8"?>
<comments xmlns="http://schemas.openxmlformats.org/spreadsheetml/2006/main">
  <authors>
    <author>Farès Benamar</author>
  </authors>
  <commentList>
    <comment ref="E8" authorId="0" shapeId="0">
      <text>
        <t>Formule de pilotage. Les données réelles restent vides avant saisie.</t>
      </text>
    </comment>
    <comment ref="E9" authorId="0" shapeId="0">
      <text>
        <t>Formule de pilotage. Les données réelles restent vides avant saisie.</t>
      </text>
    </comment>
    <comment ref="E10" authorId="0" shapeId="0">
      <text>
        <t>Formule de pilotage. Les données réelles restent vides avant saisie.</t>
      </text>
    </comment>
    <comment ref="E11" authorId="0" shapeId="0">
      <text>
        <t>Formule de pilotage. Les données réelles restent vides avant saisie.</t>
      </text>
    </comment>
    <comment ref="E12" authorId="0" shapeId="0">
      <text>
        <t>Formule de pilotage. Les données réelles restent vides avant saisie.</t>
      </text>
    </comment>
    <comment ref="E13" authorId="0" shapeId="0">
      <text>
        <t>Formule de pilotage. Les données réelles restent vides avant saisie.</t>
      </text>
    </comment>
    <comment ref="E14" authorId="0" shapeId="0">
      <text>
        <t>Formule de pilotage. Les données réelles restent vides avant saisie.</t>
      </text>
    </comment>
    <comment ref="E15" authorId="0" shapeId="0">
      <text>
        <t>Formule de pilotage. Les données réelles restent vides avant saisie.</t>
      </text>
    </comment>
  </commentList>
</comments>
</file>

<file path=xl/comments/comment14.xml><?xml version="1.0" encoding="utf-8"?>
<comments xmlns="http://schemas.openxmlformats.org/spreadsheetml/2006/main">
  <authors>
    <author>Farès Benamar</author>
  </authors>
  <commentList>
    <comment ref="B8" authorId="0" shapeId="0">
      <text>
        <t>Formule de pilotage. Les données réelles restent vides avant saisie.</t>
      </text>
    </comment>
    <comment ref="B9" authorId="0" shapeId="0">
      <text>
        <t>Formule de pilotage. Les données réelles restent vides avant saisie.</t>
      </text>
    </comment>
    <comment ref="B10" authorId="0" shapeId="0">
      <text>
        <t>Formule de pilotage. Les données réelles restent vides avant saisie.</t>
      </text>
    </comment>
    <comment ref="B11" authorId="0" shapeId="0">
      <text>
        <t>Formule de pilotage. Les données réelles restent vides avant saisie.</t>
      </text>
    </comment>
    <comment ref="B12" authorId="0" shapeId="0">
      <text>
        <t>Formule de pilotage. Les données réelles restent vides avant saisie.</t>
      </text>
    </comment>
    <comment ref="B13" authorId="0" shapeId="0">
      <text>
        <t>Formule de pilotage. Les données réelles restent vides avant saisie.</t>
      </text>
    </comment>
    <comment ref="B14" authorId="0" shapeId="0">
      <text>
        <t>Formule de pilotage. Les données réelles restent vides avant saisie.</t>
      </text>
    </comment>
    <comment ref="B15" authorId="0" shapeId="0">
      <text>
        <t>Formule de pilotage. Les données réelles restent vides avant saisie.</t>
      </text>
    </comment>
    <comment ref="B16" authorId="0" shapeId="0">
      <text>
        <t>Formule de pilotage. Les données réelles restent vides avant saisie.</t>
      </text>
    </comment>
    <comment ref="B17" authorId="0" shapeId="0">
      <text>
        <t>Formule de pilotage. Les données réelles restent vides avant saisie.</t>
      </text>
    </comment>
    <comment ref="B18" authorId="0" shapeId="0">
      <text>
        <t>Formule de pilotage. Les données réelles restent vides avant saisie.</t>
      </text>
    </comment>
    <comment ref="B19" authorId="0" shapeId="0">
      <text>
        <t>Formule de pilotage. Les données réelles restent vides avant saisie.</t>
      </text>
    </comment>
    <comment ref="B20" authorId="0" shapeId="0">
      <text>
        <t>Formule de pilotage. Les données réelles restent vides avant saisie.</t>
      </text>
    </comment>
    <comment ref="B21" authorId="0" shapeId="0">
      <text>
        <t>Formule de pilotage. Les données réelles restent vides avant saisie.</t>
      </text>
    </comment>
    <comment ref="B22" authorId="0" shapeId="0">
      <text>
        <t>Formule de pilotage. Les données réelles restent vides avant saisie.</t>
      </text>
    </comment>
    <comment ref="B23" authorId="0" shapeId="0">
      <text>
        <t>Formule de pilotage. Les données réelles restent vides avant saisie.</t>
      </text>
    </comment>
    <comment ref="B24" authorId="0" shapeId="0">
      <text>
        <t>Formule de pilotage. Les données réelles restent vides avant saisie.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68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26</row>
      <rowOff>0</rowOff>
    </from>
    <ext cx="68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2" displayName="T2" ref="A7:C21" headerRowCount="1">
  <autoFilter ref="A7:C21"/>
  <tableColumns count="3">
    <tableColumn id="1" name="Paramètre"/>
    <tableColumn id="2" name="Valeur"/>
    <tableColumn id="3" name="Règle / justification"/>
  </tableColumns>
  <tableStyleInfo name="TableStyleMedium2" showRowStripes="0"/>
</table>
</file>

<file path=xl/tables/table2.xml><?xml version="1.0" encoding="utf-8"?>
<table xmlns="http://schemas.openxmlformats.org/spreadsheetml/2006/main" id="2" name="T3" displayName="T3" ref="A7:L27" headerRowCount="1">
  <autoFilter ref="A7:L27"/>
  <tableColumns count="12">
    <tableColumn id="1" name="ID"/>
    <tableColumn id="2" name="Enveloppe"/>
    <tableColumn id="3" name="Poste"/>
    <tableColumn id="4" name="Unité"/>
    <tableColumn id="5" name="Quantité"/>
    <tableColumn id="6" name="PU TTC"/>
    <tableColumn id="7" name="Hypothèse"/>
    <tableColumn id="8" name="Prévision TTC"/>
    <tableColumn id="9" name="Devis TTC"/>
    <tableColumn id="10" name="Référence devis"/>
    <tableColumn id="11" name="Écart devis"/>
    <tableColumn id="12" name="Validation"/>
  </tableColumns>
  <tableStyleInfo name="TableStyleMedium2" showRowStripes="0"/>
</table>
</file>

<file path=xl/tables/table3.xml><?xml version="1.0" encoding="utf-8"?>
<table xmlns="http://schemas.openxmlformats.org/spreadsheetml/2006/main" id="3" name="T4" displayName="T4" ref="A7:J10" headerRowCount="1">
  <autoFilter ref="A7:J10"/>
  <tableColumns count="10">
    <tableColumn id="1" name="ID"/>
    <tableColumn id="2" name="Source envisagée"/>
    <tableColumn id="3" name="Nature"/>
    <tableColumn id="4" name="Hypothèse TTC"/>
    <tableColumn id="5" name="Accord TTC"/>
    <tableColumn id="6" name="Encaissé TTC"/>
    <tableColumn id="7" name="Statut"/>
    <tableColumn id="8" name="Preuve / référence"/>
    <tableColumn id="9" name="Responsable"/>
    <tableColumn id="10" name="Prochaine action"/>
  </tableColumns>
  <tableStyleInfo name="TableStyleMedium2" showRowStripes="0"/>
</table>
</file>

<file path=xl/tables/table4.xml><?xml version="1.0" encoding="utf-8"?>
<table xmlns="http://schemas.openxmlformats.org/spreadsheetml/2006/main" id="4" name="T5" displayName="T5" ref="A7:K47" headerRowCount="1">
  <autoFilter ref="A7:K47"/>
  <tableColumns count="11">
    <tableColumn id="1" name="ID budget"/>
    <tableColumn id="2" name="Dépense"/>
    <tableColumn id="3" name="Fournisseur"/>
    <tableColumn id="4" name="Pièce / devis"/>
    <tableColumn id="5" name="Engagé TTC"/>
    <tableColumn id="6" name="Date engagement"/>
    <tableColumn id="7" name="Payé TTC"/>
    <tableColumn id="8" name="Date paiement"/>
    <tableColumn id="9" name="Statut"/>
    <tableColumn id="10" name="Pièce facture"/>
    <tableColumn id="11" name="Contrôle"/>
  </tableColumns>
  <tableStyleInfo name="TableStyleMedium2" showRowStripes="0"/>
</table>
</file>

<file path=xl/tables/table5.xml><?xml version="1.0" encoding="utf-8"?>
<table xmlns="http://schemas.openxmlformats.org/spreadsheetml/2006/main" id="5" name="T6" displayName="T6" ref="A7:O38" headerRowCount="1">
  <autoFilter ref="A7:O38"/>
  <tableColumns count="15">
    <tableColumn id="1" name="ID"/>
    <tableColumn id="2" name="Phase"/>
    <tableColumn id="3" name="Action"/>
    <tableColumn id="4" name="Pilote proposé"/>
    <tableColumn id="5" name="Début J±"/>
    <tableColumn id="6" name="Fin J±"/>
    <tableColumn id="7" name="Prédécesseur"/>
    <tableColumn id="8" name="Début calculé"/>
    <tableColumn id="9" name="Fin calculée"/>
    <tableColumn id="10" name="Jours"/>
    <tableColumn id="11" name="Statut"/>
    <tableColumn id="12" name="Avancement"/>
    <tableColumn id="13" name="Livrable"/>
    <tableColumn id="14" name="Alerte échéance"/>
    <tableColumn id="15" name="Contrôle lien"/>
  </tableColumns>
  <tableStyleInfo name="TableStyleMedium2" showRowStripes="0"/>
</table>
</file>

<file path=xl/tables/table6.xml><?xml version="1.0" encoding="utf-8"?>
<table xmlns="http://schemas.openxmlformats.org/spreadsheetml/2006/main" id="6" name="T8" displayName="T8" ref="A7:I21" headerRowCount="1">
  <autoFilter ref="A7:I21"/>
  <tableColumns count="9">
    <tableColumn id="1" name="N°"/>
    <tableColumn id="2" name="Début"/>
    <tableColumn id="3" name="Fin"/>
    <tableColumn id="4" name="Durée min"/>
    <tableColumn id="5" name="Séquence"/>
    <tableColumn id="6" name="Pilote proposé"/>
    <tableColumn id="7" name="Préparation"/>
    <tableColumn id="8" name="Vigilance / repli"/>
    <tableColumn id="9" name="Contrôle horaire"/>
  </tableColumns>
  <tableStyleInfo name="TableStyleMedium2" showRowStripes="0"/>
</table>
</file>

<file path=xl/tables/table7.xml><?xml version="1.0" encoding="utf-8"?>
<table xmlns="http://schemas.openxmlformats.org/spreadsheetml/2006/main" id="7" name="T9" displayName="T9" ref="A7:G14" headerRowCount="1">
  <autoFilter ref="A7:G14"/>
  <tableColumns count="7">
    <tableColumn id="1" name="Action"/>
    <tableColumn id="2" name="Responsable projet"/>
    <tableColumn id="3" name="Éditorial"/>
    <tableColumn id="4" name="Communication"/>
    <tableColumn id="5" name="Logistique"/>
    <tableColumn id="6" name="Accueil"/>
    <tableColumn id="7" name="Contrôle A"/>
  </tableColumns>
  <tableStyleInfo name="TableStyleMedium2" showRowStripes="0"/>
</table>
</file>

<file path=xl/tables/table8.xml><?xml version="1.0" encoding="utf-8"?>
<table xmlns="http://schemas.openxmlformats.org/spreadsheetml/2006/main" id="8" name="T10" displayName="T10" ref="A7:J17" headerRowCount="1">
  <autoFilter ref="A7:J17"/>
  <tableColumns count="10">
    <tableColumn id="1" name="ID"/>
    <tableColumn id="2" name="Échéance J±"/>
    <tableColumn id="3" name="Date calculée"/>
    <tableColumn id="4" name="Canal"/>
    <tableColumn id="5" name="Support"/>
    <tableColumn id="6" name="Public"/>
    <tableColumn id="7" name="Objectif"/>
    <tableColumn id="8" name="Pilote"/>
    <tableColumn id="9" name="Statut"/>
    <tableColumn id="10" name="URL / preuve de diffusion"/>
  </tableColumns>
  <tableStyleInfo name="TableStyleMedium2" showRowStripes="0"/>
</table>
</file>

<file path=xl/tables/table9.xml><?xml version="1.0" encoding="utf-8"?>
<table xmlns="http://schemas.openxmlformats.org/spreadsheetml/2006/main" id="9" name="T11" displayName="T11" ref="A7:J13" headerRowCount="1">
  <autoFilter ref="A7:J13"/>
  <tableColumns count="10">
    <tableColumn id="1" name="ID"/>
    <tableColumn id="2" name="Type de structure"/>
    <tableColumn id="3" name="Intérêt recherché"/>
    <tableColumn id="4" name="Structure identifiée"/>
    <tableColumn id="5" name="Contact professionnel"/>
    <tableColumn id="6" name="Contribution envisagée"/>
    <tableColumn id="7" name="Statut"/>
    <tableColumn id="8" name="Prochaine action"/>
    <tableColumn id="9" name="Échéance"/>
    <tableColumn id="10" name="Preuve accord"/>
  </tableColumns>
  <tableStyleInfo name="TableStyleMedium2" showRowStripes="0"/>
</table>
</file>

<file path=xl/tables/table10.xml><?xml version="1.0" encoding="utf-8"?>
<table xmlns="http://schemas.openxmlformats.org/spreadsheetml/2006/main" id="10" name="T12" displayName="T12" ref="A7:J10" headerRowCount="1">
  <autoFilter ref="A7:J10"/>
  <tableColumns count="10">
    <tableColumn id="1" name="Rôle"/>
    <tableColumn id="2" name="Profil recherché"/>
    <tableColumn id="3" name="Nom confirmé"/>
    <tableColumn id="4" name="Structure"/>
    <tableColumn id="5" name="Statut"/>
    <tableColumn id="6" name="Conditions / rémunération"/>
    <tableColumn id="7" name="Accord écrit"/>
    <tableColumn id="8" name="Biographie validée"/>
    <tableColumn id="9" name="Disponibilité confirmée"/>
    <tableColumn id="10" name="Brief réalisé"/>
  </tableColumns>
  <tableStyleInfo name="TableStyleMedium2" showRowStripes="0"/>
</table>
</file>

<file path=xl/tables/table11.xml><?xml version="1.0" encoding="utf-8"?>
<table xmlns="http://schemas.openxmlformats.org/spreadsheetml/2006/main" id="11" name="T13" displayName="T13" ref="A7:I19" headerRowCount="1">
  <autoFilter ref="A7:I19"/>
  <tableColumns count="9">
    <tableColumn id="1" name="ID"/>
    <tableColumn id="2" name="Zone"/>
    <tableColumn id="3" name="Besoin"/>
    <tableColumn id="4" name="Quantité prévue"/>
    <tableColumn id="5" name="Unité"/>
    <tableColumn id="6" name="Pilote"/>
    <tableColumn id="7" name="Mode envisagé"/>
    <tableColumn id="8" name="Statut"/>
    <tableColumn id="9" name="Point de contrôle"/>
  </tableColumns>
  <tableStyleInfo name="TableStyleMedium2" showRowStripes="0"/>
</table>
</file>

<file path=xl/tables/table12.xml><?xml version="1.0" encoding="utf-8"?>
<table xmlns="http://schemas.openxmlformats.org/spreadsheetml/2006/main" id="12" name="T14" displayName="T14" ref="A7:J9" headerRowCount="1">
  <autoFilter ref="A7:J9"/>
  <tableColumns count="10">
    <tableColumn id="1" name="Option"/>
    <tableColumn id="2" name="Lieu identifié"/>
    <tableColumn id="3" name="Capacité vérifiée"/>
    <tableColumn id="4" name="Accessibilité vérifiée"/>
    <tableColumn id="5" name="Coût TTC"/>
    <tableColumn id="6" name="Technique incluse"/>
    <tableColumn id="7" name="Disponibilité"/>
    <tableColumn id="8" name="Conditions annulation"/>
    <tableColumn id="9" name="Accord écrit"/>
    <tableColumn id="10" name="Décision"/>
  </tableColumns>
  <tableStyleInfo name="TableStyleMedium2" showRowStripes="0"/>
</table>
</file>

<file path=xl/tables/table13.xml><?xml version="1.0" encoding="utf-8"?>
<table xmlns="http://schemas.openxmlformats.org/spreadsheetml/2006/main" id="13" name="T15" displayName="T15" ref="A7:J15" headerRowCount="1">
  <autoFilter ref="A7:J15"/>
  <tableColumns count="10">
    <tableColumn id="1" name="ID"/>
    <tableColumn id="2" name="Risque"/>
    <tableColumn id="3" name="Probabilité"/>
    <tableColumn id="4" name="Impact"/>
    <tableColumn id="5" name="Score"/>
    <tableColumn id="6" name="Niveau"/>
    <tableColumn id="7" name="Prévention / repli"/>
    <tableColumn id="8" name="Pilote"/>
    <tableColumn id="9" name="Statut"/>
    <tableColumn id="10" name="Dernière revue"/>
  </tableColumns>
  <tableStyleInfo name="TableStyleMedium2" showRowStripes="0"/>
</table>
</file>

<file path=xl/tables/table14.xml><?xml version="1.0" encoding="utf-8"?>
<table xmlns="http://schemas.openxmlformats.org/spreadsheetml/2006/main" id="14" name="T16" displayName="T16" ref="A7:H15" headerRowCount="1">
  <autoFilter ref="A7:H15"/>
  <tableColumns count="8">
    <tableColumn id="1" name="ID"/>
    <tableColumn id="2" name="Décision attendue"/>
    <tableColumn id="3" name="Pilote"/>
    <tableColumn id="4" name="Échéance J±"/>
    <tableColumn id="5" name="Date calculée"/>
    <tableColumn id="6" name="Statut"/>
    <tableColumn id="7" name="Preuve / décision"/>
    <tableColumn id="8" name="Conséquence si non validé"/>
  </tableColumns>
  <tableStyleInfo name="TableStyleMedium2" showRowStripes="0"/>
</table>
</file>

<file path=xl/tables/table15.xml><?xml version="1.0" encoding="utf-8"?>
<table xmlns="http://schemas.openxmlformats.org/spreadsheetml/2006/main" id="15" name="T17" displayName="T17" ref="A7:F22" headerRowCount="1">
  <autoFilter ref="A7:F22"/>
  <tableColumns count="6">
    <tableColumn id="1" name="ID"/>
    <tableColumn id="2" name="Moment"/>
    <tableColumn id="3" name="Contrôle"/>
    <tableColumn id="4" name="Pilote"/>
    <tableColumn id="5" name="Statut"/>
    <tableColumn id="6" name="Preuve / commentaire"/>
  </tableColumns>
  <tableStyleInfo name="TableStyleMedium2" showRowStripes="0"/>
</table>
</file>

<file path=xl/tables/table16.xml><?xml version="1.0" encoding="utf-8"?>
<table xmlns="http://schemas.openxmlformats.org/spreadsheetml/2006/main" id="16" name="T18" displayName="T18" ref="A7:C24" headerRowCount="1">
  <autoFilter ref="A7:C24"/>
  <tableColumns count="3">
    <tableColumn id="1" name="Indicateur"/>
    <tableColumn id="2" name="Valeur"/>
    <tableColumn id="3" name="Définition / lecture"/>
  </tableColumns>
  <tableStyleInfo name="TableStyleMedium2" showRowStripes="0"/>
</table>
</file>

<file path=xl/tables/table17.xml><?xml version="1.0" encoding="utf-8"?>
<table xmlns="http://schemas.openxmlformats.org/spreadsheetml/2006/main" id="17" name="T19" displayName="T19" ref="A7:F15" headerRowCount="1">
  <autoFilter ref="A7:F15"/>
  <tableColumns count="6">
    <tableColumn id="1" name="Axe"/>
    <tableColumn id="2" name="Fait observé / preuve"/>
    <tableColumn id="3" name="Écart / enseignement"/>
    <tableColumn id="4" name="Action pour la suite"/>
    <tableColumn id="5" name="Pilote"/>
    <tableColumn id="6" name="Échéance"/>
  </tableColumns>
  <tableStyleInfo name="TableStyleMedium2" showRowStripes="0"/>
</table>
</file>

<file path=xl/tables/table18.xml><?xml version="1.0" encoding="utf-8"?>
<table xmlns="http://schemas.openxmlformats.org/spreadsheetml/2006/main" id="18" name="T20" displayName="T20" ref="A7:C20" headerRowCount="1">
  <autoFilter ref="A7:C20"/>
  <tableColumns count="3">
    <tableColumn id="1" name="Sujet"/>
    <tableColumn id="2" name="Instruction"/>
    <tableColumn id="3" name="Onglet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hyperlink" Target="#'Param&#232;tres'!A1" TargetMode="External" Id="rId2"/><Relationship Type="http://schemas.openxmlformats.org/officeDocument/2006/relationships/hyperlink" Target="#'Budget'!A1" TargetMode="External" Id="rId3"/><Relationship Type="http://schemas.openxmlformats.org/officeDocument/2006/relationships/hyperlink" Target="#'Financements'!A1" TargetMode="External" Id="rId4"/><Relationship Type="http://schemas.openxmlformats.org/officeDocument/2006/relationships/hyperlink" Target="#'D&#233;penses'!A1" TargetMode="External" Id="rId5"/><Relationship Type="http://schemas.openxmlformats.org/officeDocument/2006/relationships/hyperlink" Target="#'R&#233;troplanning'!A1" TargetMode="External" Id="rId6"/><Relationship Type="http://schemas.openxmlformats.org/officeDocument/2006/relationships/hyperlink" Target="#'Gantt'!A1" TargetMode="External" Id="rId7"/><Relationship Type="http://schemas.openxmlformats.org/officeDocument/2006/relationships/hyperlink" Target="#'D&#233;roul&#233;'!A1" TargetMode="External" Id="rId8"/><Relationship Type="http://schemas.openxmlformats.org/officeDocument/2006/relationships/hyperlink" Target="#'RACI'!A1" TargetMode="External" Id="rId9"/><Relationship Type="http://schemas.openxmlformats.org/officeDocument/2006/relationships/hyperlink" Target="#'Communication'!A1" TargetMode="External" Id="rId10"/><Relationship Type="http://schemas.openxmlformats.org/officeDocument/2006/relationships/hyperlink" Target="#'Partenaires'!A1" TargetMode="External" Id="rId11"/><Relationship Type="http://schemas.openxmlformats.org/officeDocument/2006/relationships/hyperlink" Target="#'Intervenants'!A1" TargetMode="External" Id="rId12"/><Relationship Type="http://schemas.openxmlformats.org/officeDocument/2006/relationships/hyperlink" Target="#'Logistique'!A1" TargetMode="External" Id="rId13"/><Relationship Type="http://schemas.openxmlformats.org/officeDocument/2006/relationships/hyperlink" Target="#'Lieux'!A1" TargetMode="External" Id="rId14"/><Relationship Type="http://schemas.openxmlformats.org/officeDocument/2006/relationships/hyperlink" Target="#'Risques'!A1" TargetMode="External" Id="rId15"/><Relationship Type="http://schemas.openxmlformats.org/officeDocument/2006/relationships/hyperlink" Target="#'D&#233;cisions'!A1" TargetMode="External" Id="rId16"/><Relationship Type="http://schemas.openxmlformats.org/officeDocument/2006/relationships/hyperlink" Target="#'Check-list'!A1" TargetMode="External" Id="rId17"/><Relationship Type="http://schemas.openxmlformats.org/officeDocument/2006/relationships/hyperlink" Target="#'Indicateurs'!A1" TargetMode="External" Id="rId18"/><Relationship Type="http://schemas.openxmlformats.org/officeDocument/2006/relationships/hyperlink" Target="#'Bilan'!A1" TargetMode="External" Id="rId19"/><Relationship Type="http://schemas.openxmlformats.org/officeDocument/2006/relationships/hyperlink" Target="#'Mode emploi'!A1" TargetMode="External" Id="rId20"/><Relationship Type="http://schemas.openxmlformats.org/officeDocument/2006/relationships/drawing" Target="/xl/drawings/drawing1.xml" Id="rId2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1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2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3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4.xm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6.xml" Id="rId2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7.xml" Id="rId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8.xml" Id="rId2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9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10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11.xml" Id="rId2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4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12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13.xml" Id="rId2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6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14.xml" Id="rId2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15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16.xml" Id="rId2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9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table" Target="/xl/tables/table17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Tableau de bord'!A1" TargetMode="External" Id="rId1"/><Relationship Type="http://schemas.openxmlformats.org/officeDocument/2006/relationships/hyperlink" Target="#'Param&#232;tres'!A1" TargetMode="External" Id="rId2"/><Relationship Type="http://schemas.openxmlformats.org/officeDocument/2006/relationships/hyperlink" Target="#'Tableau de bord'!A1" TargetMode="External" Id="rId3"/><Relationship Type="http://schemas.openxmlformats.org/officeDocument/2006/relationships/hyperlink" Target="#'Budget'!A1" TargetMode="External" Id="rId4"/><Relationship Type="http://schemas.openxmlformats.org/officeDocument/2006/relationships/hyperlink" Target="#'Financements'!A1" TargetMode="External" Id="rId5"/><Relationship Type="http://schemas.openxmlformats.org/officeDocument/2006/relationships/hyperlink" Target="#'D&#233;penses'!A1" TargetMode="External" Id="rId6"/><Relationship Type="http://schemas.openxmlformats.org/officeDocument/2006/relationships/hyperlink" Target="#'R&#233;troplanning'!A1" TargetMode="External" Id="rId7"/><Relationship Type="http://schemas.openxmlformats.org/officeDocument/2006/relationships/hyperlink" Target="#'Gantt'!A1" TargetMode="External" Id="rId8"/><Relationship Type="http://schemas.openxmlformats.org/officeDocument/2006/relationships/hyperlink" Target="#'D&#233;cisions'!A1" TargetMode="External" Id="rId9"/><Relationship Type="http://schemas.openxmlformats.org/officeDocument/2006/relationships/hyperlink" Target="#'Indicateurs'!A1" TargetMode="External" Id="rId10"/><Relationship Type="http://schemas.openxmlformats.org/officeDocument/2006/relationships/hyperlink" Target="#'Param&#232;tres'!A1" TargetMode="External" Id="rId11"/><Relationship Type="http://schemas.openxmlformats.org/officeDocument/2006/relationships/hyperlink" Target="#'RACI'!A1" TargetMode="External" Id="rId12"/><Relationship Type="http://schemas.openxmlformats.org/officeDocument/2006/relationships/hyperlink" Target="#'Budget'!A1" TargetMode="External" Id="rId13"/><Relationship Type="http://schemas.openxmlformats.org/officeDocument/2006/relationships/hyperlink" Target="#'Mode emploi'!A1" TargetMode="External" Id="rId14"/><Relationship Type="http://schemas.openxmlformats.org/officeDocument/2006/relationships/table" Target="/xl/tables/table18.xml" Id="rId1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63"/>
  <sheetViews>
    <sheetView showGridLines="0" zoomScale="85" workbookViewId="0">
      <pane ySplit="7" topLeftCell="A8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7" customWidth="1" min="1" max="1"/>
    <col width="28" customWidth="1" min="2" max="2"/>
    <col width="65" customWidth="1" min="3" max="3"/>
    <col width="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4" customHeight="1">
      <c r="A1" s="1" t="inlineStr">
        <is>
          <t>LES RENCONTRES / PILOTAGE</t>
        </is>
      </c>
      <c r="B1" s="2" t="n"/>
      <c r="C1" s="2" t="n"/>
    </row>
    <row r="2" ht="24" customHeight="1">
      <c r="A2" s="2" t="n"/>
      <c r="B2" s="2" t="n"/>
      <c r="C2" s="2" t="n"/>
    </row>
    <row r="3"/>
    <row r="4" ht="22" customHeight="1">
      <c r="A4" s="3" t="inlineStr">
        <is>
          <t>Édition pilote envisagée en avril 2027 · Hypothèses de travail, sans événement réalisé.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Repère</t>
        </is>
      </c>
      <c r="B7" s="5" t="inlineStr">
        <is>
          <t>Valeur</t>
        </is>
      </c>
      <c r="C7" s="5" t="inlineStr">
        <is>
          <t>Lecture</t>
        </is>
      </c>
    </row>
    <row r="8" ht="31" customHeight="1">
      <c r="A8" s="6" t="inlineStr">
        <is>
          <t>Budget prévisionnel TTC</t>
        </is>
      </c>
      <c r="B8" s="7">
        <f>'Budget'!H36</f>
        <v/>
      </c>
      <c r="C8" s="8" t="inlineStr">
        <is>
          <t>20 lignes de coût + réserve 10 %</t>
        </is>
      </c>
    </row>
    <row r="9" ht="31" customHeight="1">
      <c r="A9" s="9" t="inlineStr">
        <is>
          <t>Marge sur plafond</t>
        </is>
      </c>
      <c r="B9" s="10">
        <f>'Budget'!H38</f>
        <v/>
      </c>
      <c r="C9" s="11" t="inlineStr">
        <is>
          <t>Plafond de scénario : 2 500 €</t>
        </is>
      </c>
    </row>
    <row r="10" ht="31" customHeight="1">
      <c r="A10" s="6" t="inlineStr">
        <is>
          <t>Financement confirmé</t>
        </is>
      </c>
      <c r="B10" s="7">
        <f>'Financements'!E14</f>
        <v/>
      </c>
      <c r="C10" s="8" t="inlineStr">
        <is>
          <t>Aucun accord saisi actuellement</t>
        </is>
      </c>
    </row>
    <row r="11" ht="31" customHeight="1">
      <c r="A11" s="9" t="inlineStr">
        <is>
          <t>Reste à financer</t>
        </is>
      </c>
      <c r="B11" s="10">
        <f>'Financements'!E15</f>
        <v/>
      </c>
      <c r="C11" s="11" t="inlineStr">
        <is>
          <t>Budget moins ressources confirmées</t>
        </is>
      </c>
    </row>
    <row r="12" ht="31" customHeight="1">
      <c r="A12" s="6" t="inlineStr">
        <is>
          <t>Participants visés</t>
        </is>
      </c>
      <c r="B12" s="12">
        <f>'Paramètres'!B10</f>
        <v/>
      </c>
      <c r="C12" s="8" t="inlineStr">
        <is>
          <t>Objectif ; pas une fréquentation acquise</t>
        </is>
      </c>
    </row>
    <row r="13" ht="31" customHeight="1">
      <c r="A13" s="9" t="inlineStr">
        <is>
          <t>Occupants prévus</t>
        </is>
      </c>
      <c r="B13" s="13">
        <f>'Indicateurs'!B24</f>
        <v/>
      </c>
      <c r="C13" s="11">
        <f>IF(B13&gt;'Paramètres'!B11,"Capacité minimale à augmenter","Public + équipe ; capacité à vérifier")</f>
        <v/>
      </c>
    </row>
    <row r="14" ht="31" customHeight="1">
      <c r="A14" s="6" t="inlineStr">
        <is>
          <t>Tâches terminées</t>
        </is>
      </c>
      <c r="B14" s="12">
        <f>COUNTIF('Rétroplanning'!K8:K38,"Terminé")</f>
        <v/>
      </c>
      <c r="C14" s="8" t="inlineStr">
        <is>
          <t>Sur 31 tâches du plan</t>
        </is>
      </c>
    </row>
    <row r="15" ht="31" customHeight="1">
      <c r="A15" s="9" t="inlineStr">
        <is>
          <t>Avancement tâches</t>
        </is>
      </c>
      <c r="B15" s="14">
        <f>'Indicateurs'!B19</f>
        <v/>
      </c>
      <c r="C15" s="11" t="inlineStr">
        <is>
          <t>Proportion des tâches terminées</t>
        </is>
      </c>
    </row>
    <row r="16" ht="31" customHeight="1">
      <c r="A16" s="6" t="inlineStr">
        <is>
          <t>Tâches en retard</t>
        </is>
      </c>
      <c r="B16" s="12">
        <f>COUNTIF('Rétroplanning'!N8:N38,"En retard")</f>
        <v/>
      </c>
      <c r="C16" s="8" t="inlineStr">
        <is>
          <t>Calcul depuis la date de revue</t>
        </is>
      </c>
    </row>
    <row r="17" ht="31" customHeight="1">
      <c r="A17" s="9" t="inlineStr">
        <is>
          <t>Validations non acquises</t>
        </is>
      </c>
      <c r="B17" s="13">
        <f>COUNTIF('Décisions'!F8:F15,"&lt;&gt;Validé")</f>
        <v/>
      </c>
      <c r="C17" s="11" t="inlineStr">
        <is>
          <t>Préconditions de diffusion et ouverture</t>
        </is>
      </c>
    </row>
    <row r="18" ht="31" customHeight="1">
      <c r="A18" s="6" t="inlineStr">
        <is>
          <t>Risques prioritaires</t>
        </is>
      </c>
      <c r="B18" s="12">
        <f>COUNTIF('Risques'!E8:E15,"&gt;=6")</f>
        <v/>
      </c>
      <c r="C18" s="8" t="inlineStr">
        <is>
          <t>Probabilité × impact ≥ 6</t>
        </is>
      </c>
    </row>
    <row r="19" ht="31" customHeight="1">
      <c r="A19" s="9" t="inlineStr">
        <is>
          <t>Paiements saisis</t>
        </is>
      </c>
      <c r="B19" s="10">
        <f>'Indicateurs'!B17</f>
        <v/>
      </c>
      <c r="C19" s="11" t="inlineStr">
        <is>
          <t>Vide tant que le registre est vierge</t>
        </is>
      </c>
    </row>
    <row r="20"/>
    <row r="21"/>
    <row r="22"/>
    <row r="23">
      <c r="A23" s="15" t="inlineStr">
        <is>
          <t>RÉPARTITION DU BUDGET DE BASE</t>
        </is>
      </c>
    </row>
    <row r="24">
      <c r="A24" t="inlineStr">
        <is>
          <t>Lieu</t>
        </is>
      </c>
      <c r="B24" s="16">
        <f>SUMIF(Budget!B8:B27,A24,Budget!H8:H27)</f>
        <v/>
      </c>
    </row>
    <row r="25">
      <c r="A25" t="inlineStr">
        <is>
          <t>Technique</t>
        </is>
      </c>
      <c r="B25" s="16">
        <f>SUMIF(Budget!B8:B27,A25,Budget!H8:H27)</f>
        <v/>
      </c>
    </row>
    <row r="26">
      <c r="A26" t="inlineStr">
        <is>
          <t>Intervenants</t>
        </is>
      </c>
      <c r="B26" s="16">
        <f>SUMIF(Budget!B8:B27,A26,Budget!H8:H27)</f>
        <v/>
      </c>
    </row>
    <row r="27">
      <c r="A27" t="inlineStr">
        <is>
          <t>Collation</t>
        </is>
      </c>
      <c r="B27" s="16">
        <f>SUMIF(Budget!B8:B27,A27,Budget!H8:H27)</f>
        <v/>
      </c>
    </row>
    <row r="28">
      <c r="A28" t="inlineStr">
        <is>
          <t>Supports</t>
        </is>
      </c>
      <c r="B28" s="16">
        <f>SUMIF(Budget!B8:B27,A28,Budget!H8:H27)</f>
        <v/>
      </c>
    </row>
    <row r="29">
      <c r="A29" t="inlineStr">
        <is>
          <t>Administration</t>
        </is>
      </c>
      <c r="B29" s="16">
        <f>SUMIF(Budget!B8:B27,A29,Budget!H8:H27)</f>
        <v/>
      </c>
    </row>
    <row r="30">
      <c r="A30" t="inlineStr">
        <is>
          <t>Accessibilité</t>
        </is>
      </c>
      <c r="B30" s="16">
        <f>SUMIF(Budget!B8:B27,A30,Budget!H8:H27)</f>
        <v/>
      </c>
    </row>
    <row r="31">
      <c r="A31" t="inlineStr">
        <is>
          <t>Documentation</t>
        </is>
      </c>
      <c r="B31" s="16">
        <f>SUMIF(Budget!B8:B27,A31,Budget!H8:H27)</f>
        <v/>
      </c>
    </row>
    <row r="32"/>
    <row r="33"/>
    <row r="34">
      <c r="A34" s="15" t="inlineStr">
        <is>
          <t>ÉTAT DES TÂCHES</t>
        </is>
      </c>
    </row>
    <row r="35">
      <c r="A35" t="inlineStr">
        <is>
          <t>À faire</t>
        </is>
      </c>
      <c r="B35">
        <f>COUNTIF('Rétroplanning'!K8:K38,A35)</f>
        <v/>
      </c>
    </row>
    <row r="36">
      <c r="A36" t="inlineStr">
        <is>
          <t>En cours</t>
        </is>
      </c>
      <c r="B36">
        <f>COUNTIF('Rétroplanning'!K8:K38,A36)</f>
        <v/>
      </c>
    </row>
    <row r="37">
      <c r="A37" t="inlineStr">
        <is>
          <t>Terminé</t>
        </is>
      </c>
      <c r="B37">
        <f>COUNTIF('Rétroplanning'!K8:K38,A37)</f>
        <v/>
      </c>
    </row>
    <row r="38">
      <c r="A38" t="inlineStr">
        <is>
          <t>Bloqué</t>
        </is>
      </c>
      <c r="B38">
        <f>COUNTIF('Rétroplanning'!K8:K38,A38)</f>
        <v/>
      </c>
    </row>
    <row r="39"/>
    <row r="40"/>
    <row r="41">
      <c r="A41" s="15" t="inlineStr">
        <is>
          <t>ACCÈS RAPIDE</t>
        </is>
      </c>
    </row>
    <row r="42" ht="22" customHeight="1">
      <c r="A42" s="17" t="inlineStr">
        <is>
          <t>Paramètres</t>
        </is>
      </c>
    </row>
    <row r="43" ht="22" customHeight="1">
      <c r="A43" s="17" t="inlineStr">
        <is>
          <t>Budget</t>
        </is>
      </c>
    </row>
    <row r="44" ht="22" customHeight="1">
      <c r="A44" s="17" t="inlineStr">
        <is>
          <t>Financements</t>
        </is>
      </c>
    </row>
    <row r="45" ht="22" customHeight="1">
      <c r="A45" s="17" t="inlineStr">
        <is>
          <t>Dépenses</t>
        </is>
      </c>
    </row>
    <row r="46" ht="22" customHeight="1">
      <c r="A46" s="17" t="inlineStr">
        <is>
          <t>Rétroplanning</t>
        </is>
      </c>
    </row>
    <row r="47" ht="22" customHeight="1">
      <c r="A47" s="17" t="inlineStr">
        <is>
          <t>Gantt</t>
        </is>
      </c>
    </row>
    <row r="48" ht="22" customHeight="1">
      <c r="A48" s="17" t="inlineStr">
        <is>
          <t>Déroulé</t>
        </is>
      </c>
    </row>
    <row r="49" ht="22" customHeight="1">
      <c r="A49" s="17" t="inlineStr">
        <is>
          <t>RACI</t>
        </is>
      </c>
    </row>
    <row r="50" ht="22" customHeight="1">
      <c r="A50" s="17" t="inlineStr">
        <is>
          <t>Communication</t>
        </is>
      </c>
    </row>
    <row r="51" ht="22" customHeight="1">
      <c r="A51" s="17" t="inlineStr">
        <is>
          <t>Partenaires</t>
        </is>
      </c>
    </row>
    <row r="52" ht="22" customHeight="1">
      <c r="A52" s="17" t="inlineStr">
        <is>
          <t>Intervenants</t>
        </is>
      </c>
    </row>
    <row r="53" ht="22" customHeight="1">
      <c r="A53" s="17" t="inlineStr">
        <is>
          <t>Logistique</t>
        </is>
      </c>
    </row>
    <row r="54" ht="22" customHeight="1">
      <c r="A54" s="17" t="inlineStr">
        <is>
          <t>Lieux</t>
        </is>
      </c>
    </row>
    <row r="55" ht="22" customHeight="1">
      <c r="A55" s="17" t="inlineStr">
        <is>
          <t>Risques</t>
        </is>
      </c>
    </row>
    <row r="56" ht="22" customHeight="1">
      <c r="A56" s="17" t="inlineStr">
        <is>
          <t>Décisions</t>
        </is>
      </c>
    </row>
    <row r="57" ht="22" customHeight="1">
      <c r="A57" s="17" t="inlineStr">
        <is>
          <t>Check-list</t>
        </is>
      </c>
    </row>
    <row r="58" ht="22" customHeight="1">
      <c r="A58" s="17" t="inlineStr">
        <is>
          <t>Indicateurs</t>
        </is>
      </c>
    </row>
    <row r="59" ht="22" customHeight="1">
      <c r="A59" s="17" t="inlineStr">
        <is>
          <t>Bilan</t>
        </is>
      </c>
    </row>
    <row r="60" ht="22" customHeight="1">
      <c r="A60" s="17" t="inlineStr">
        <is>
          <t>Mode emploi</t>
        </is>
      </c>
    </row>
    <row r="61"/>
    <row r="62"/>
    <row r="63">
      <c r="A63" t="inlineStr">
        <is>
          <t>Légende : bleu = saisie · vert = formule · projet non réalisé</t>
        </is>
      </c>
    </row>
  </sheetData>
  <mergeCells count="2">
    <mergeCell ref="A1:C2"/>
    <mergeCell ref="A4:C5"/>
  </mergeCells>
  <hyperlinks>
    <hyperlink xmlns:r="http://schemas.openxmlformats.org/officeDocument/2006/relationships" ref="A6" r:id="rId1"/>
    <hyperlink xmlns:r="http://schemas.openxmlformats.org/officeDocument/2006/relationships" ref="A42" r:id="rId2"/>
    <hyperlink xmlns:r="http://schemas.openxmlformats.org/officeDocument/2006/relationships" ref="A43" r:id="rId3"/>
    <hyperlink xmlns:r="http://schemas.openxmlformats.org/officeDocument/2006/relationships" ref="A44" r:id="rId4"/>
    <hyperlink xmlns:r="http://schemas.openxmlformats.org/officeDocument/2006/relationships" ref="A45" r:id="rId5"/>
    <hyperlink xmlns:r="http://schemas.openxmlformats.org/officeDocument/2006/relationships" ref="A46" r:id="rId6"/>
    <hyperlink xmlns:r="http://schemas.openxmlformats.org/officeDocument/2006/relationships" ref="A47" r:id="rId7"/>
    <hyperlink xmlns:r="http://schemas.openxmlformats.org/officeDocument/2006/relationships" ref="A48" r:id="rId8"/>
    <hyperlink xmlns:r="http://schemas.openxmlformats.org/officeDocument/2006/relationships" ref="A49" r:id="rId9"/>
    <hyperlink xmlns:r="http://schemas.openxmlformats.org/officeDocument/2006/relationships" ref="A50" r:id="rId10"/>
    <hyperlink xmlns:r="http://schemas.openxmlformats.org/officeDocument/2006/relationships" ref="A51" r:id="rId11"/>
    <hyperlink xmlns:r="http://schemas.openxmlformats.org/officeDocument/2006/relationships" ref="A52" r:id="rId12"/>
    <hyperlink xmlns:r="http://schemas.openxmlformats.org/officeDocument/2006/relationships" ref="A53" r:id="rId13"/>
    <hyperlink xmlns:r="http://schemas.openxmlformats.org/officeDocument/2006/relationships" ref="A54" r:id="rId14"/>
    <hyperlink xmlns:r="http://schemas.openxmlformats.org/officeDocument/2006/relationships" ref="A55" r:id="rId15"/>
    <hyperlink xmlns:r="http://schemas.openxmlformats.org/officeDocument/2006/relationships" ref="A56" r:id="rId16"/>
    <hyperlink xmlns:r="http://schemas.openxmlformats.org/officeDocument/2006/relationships" ref="A57" r:id="rId17"/>
    <hyperlink xmlns:r="http://schemas.openxmlformats.org/officeDocument/2006/relationships" ref="A58" r:id="rId18"/>
    <hyperlink xmlns:r="http://schemas.openxmlformats.org/officeDocument/2006/relationships" ref="A59" r:id="rId19"/>
    <hyperlink xmlns:r="http://schemas.openxmlformats.org/officeDocument/2006/relationships" ref="A60" r:id="rId20"/>
  </hyperlinks>
  <printOptions horizontalCentered="1"/>
  <pageMargins left="0.75" right="0.75" top="1" bottom="1" header="0.5" footer="0.5"/>
  <pageSetup orientation="landscape" paperSize="8" fitToHeight="2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drawing xmlns:r="http://schemas.openxmlformats.org/officeDocument/2006/relationships" r:id="rId2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7" customWidth="1" min="2" max="2"/>
    <col width="91" customWidth="1" min="3" max="3"/>
  </cols>
  <sheetData>
    <row r="1" ht="24" customHeight="1">
      <c r="A1" s="1" t="inlineStr">
        <is>
          <t>01 / HYPOTHÈSES COMMUNES</t>
        </is>
      </c>
      <c r="B1" s="2" t="n"/>
      <c r="C1" s="2" t="n"/>
    </row>
    <row r="2" ht="24" customHeight="1">
      <c r="A2" s="2" t="n"/>
      <c r="B2" s="2" t="n"/>
      <c r="C2" s="2" t="n"/>
    </row>
    <row r="3"/>
    <row r="4" ht="22" customHeight="1">
      <c r="A4" s="3" t="inlineStr">
        <is>
          <t>Modifier les cellules bleues. Les dates, budgets et jauges des autres onglets se recalculent depuis cette feuille.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Paramètre</t>
        </is>
      </c>
      <c r="B7" s="5" t="inlineStr">
        <is>
          <t>Valeur</t>
        </is>
      </c>
      <c r="C7" s="5" t="inlineStr">
        <is>
          <t>Règle / justification</t>
        </is>
      </c>
    </row>
    <row r="8" ht="43" customHeight="1">
      <c r="A8" s="18" t="inlineStr">
        <is>
          <t>Date de référence</t>
        </is>
      </c>
      <c r="B8" s="19" t="n">
        <v>46485</v>
      </c>
      <c r="C8" s="18" t="inlineStr">
        <is>
          <t>Référence de calcul uniquement ; le jour exact n’est pas confirmé.</t>
        </is>
      </c>
    </row>
    <row r="9" ht="43" customHeight="1">
      <c r="A9" s="20" t="inlineStr">
        <is>
          <t>Date de revue</t>
        </is>
      </c>
      <c r="B9" s="19" t="n">
        <v>46308</v>
      </c>
      <c r="C9" s="20" t="inlineStr">
        <is>
          <t>Date saisie, pour rendre les alertes reproductibles. À actualiser à chaque revue.</t>
        </is>
      </c>
    </row>
    <row r="10" ht="43" customHeight="1">
      <c r="A10" s="18" t="inlineStr">
        <is>
          <t>Participants visés</t>
        </is>
      </c>
      <c r="B10" s="21" t="n">
        <v>80</v>
      </c>
      <c r="C10" s="18" t="inlineStr">
        <is>
          <t>Objectif de conception ; ne constitue pas une fréquentation acquise.</t>
        </is>
      </c>
    </row>
    <row r="11" ht="43" customHeight="1">
      <c r="A11" s="20" t="inlineStr">
        <is>
          <t>Capacité minimale du lieu</t>
        </is>
      </c>
      <c r="B11" s="21" t="n">
        <v>100</v>
      </c>
      <c r="C11" s="20" t="inlineStr">
        <is>
          <t>À vérifier avec le gestionnaire du lieu.</t>
        </is>
      </c>
    </row>
    <row r="12" ht="43" customHeight="1">
      <c r="A12" s="18" t="inlineStr">
        <is>
          <t>Effectif équipe maximal</t>
        </is>
      </c>
      <c r="B12" s="21" t="n">
        <v>8</v>
      </c>
      <c r="C12" s="18" t="inlineStr">
        <is>
          <t>Enveloppe de travail, intervenants inclus.</t>
        </is>
      </c>
    </row>
    <row r="13" ht="43" customHeight="1">
      <c r="A13" s="20" t="inlineStr">
        <is>
          <t>Réserve budgétaire</t>
        </is>
      </c>
      <c r="B13" s="22" t="n">
        <v>0.1</v>
      </c>
      <c r="C13" s="20" t="inlineStr">
        <is>
          <t>Appliquée uniquement aux lignes de budget prévisionnel.</t>
        </is>
      </c>
    </row>
    <row r="14" ht="43" customHeight="1">
      <c r="A14" s="18" t="inlineStr">
        <is>
          <t>Plafond de travail TTC</t>
        </is>
      </c>
      <c r="B14" s="23" t="n">
        <v>2500</v>
      </c>
      <c r="C14" s="18" t="inlineStr">
        <is>
          <t>Limite de scénario à valider avant engagement.</t>
        </is>
      </c>
    </row>
    <row r="15" ht="43" customHeight="1">
      <c r="A15" s="20" t="inlineStr">
        <is>
          <t>Nombre de questionnaires envoyés</t>
        </is>
      </c>
      <c r="B15" s="21" t="n"/>
      <c r="C15" s="20" t="inlineStr">
        <is>
          <t>Résultat à renseigner après envoi effectif.</t>
        </is>
      </c>
    </row>
    <row r="16" ht="43" customHeight="1">
      <c r="A16" s="18" t="inlineStr">
        <is>
          <t>Nombre de réponses reçues</t>
        </is>
      </c>
      <c r="B16" s="21" t="n"/>
      <c r="C16" s="18" t="inlineStr">
        <is>
          <t>Résultat à renseigner après réception.</t>
        </is>
      </c>
    </row>
    <row r="17" ht="43" customHeight="1">
      <c r="A17" s="20" t="inlineStr">
        <is>
          <t>Inscriptions confirmées</t>
        </is>
      </c>
      <c r="B17" s="21" t="n"/>
      <c r="C17" s="20" t="inlineStr">
        <is>
          <t>Total agrégé ; aucune liste nominative dans ce classeur.</t>
        </is>
      </c>
    </row>
    <row r="18" ht="43" customHeight="1">
      <c r="A18" s="18" t="inlineStr">
        <is>
          <t>Entrées uniques constatées</t>
        </is>
      </c>
      <c r="B18" s="21" t="n"/>
      <c r="C18" s="18" t="inlineStr">
        <is>
          <t>Comptage sans double entrée, après réalisation.</t>
        </is>
      </c>
    </row>
    <row r="19" ht="43" customHeight="1">
      <c r="A19" s="20" t="inlineStr">
        <is>
          <t>Heure accueil public</t>
        </is>
      </c>
      <c r="B19" s="24" t="n">
        <v>0.7708333333333334</v>
      </c>
      <c r="C19" s="20" t="inlineStr">
        <is>
          <t>Horaire envisagé ; conducteur de référence.</t>
        </is>
      </c>
    </row>
    <row r="20" ht="43" customHeight="1">
      <c r="A20" s="18" t="inlineStr">
        <is>
          <t>Heure fin du public</t>
        </is>
      </c>
      <c r="B20" s="24" t="n">
        <v>0.8958333333333334</v>
      </c>
      <c r="C20" s="18" t="inlineStr">
        <is>
          <t>Horaire envisagé.</t>
        </is>
      </c>
    </row>
    <row r="21" ht="43" customHeight="1">
      <c r="A21" s="20" t="inlineStr">
        <is>
          <t>Coût cible par participant</t>
        </is>
      </c>
      <c r="B21" s="25">
        <f>'Budget'!H36/B10</f>
        <v/>
      </c>
      <c r="C21" s="20" t="inlineStr">
        <is>
          <t>Coût prévisionnel, calculé sur la jauge cible.</t>
        </is>
      </c>
    </row>
  </sheetData>
  <autoFilter ref="A7:C21"/>
  <mergeCells count="2">
    <mergeCell ref="A1:C2"/>
    <mergeCell ref="A4:C5"/>
  </mergeCells>
  <dataValidations count="5">
    <dataValidation sqref="B8:B9" showDropDown="0" showInputMessage="0" showErrorMessage="1" allowBlank="1" errorTitle="Valeur à vérifier" error="Utilisez une valeur autorisée." type="date" errorStyle="stop" operator="greaterThan">
      <formula1>1</formula1>
    </dataValidation>
    <dataValidation sqref="B10:B12" showDropDown="0" showInputMessage="0" showErrorMessage="1" allowBlank="1" errorTitle="Valeur à vérifier" error="Utilisez une valeur autorisée." type="whole" errorStyle="stop" operator="greaterThanOrEqual">
      <formula1>1</formula1>
    </dataValidation>
    <dataValidation sqref="B13" showDropDown="0" showInputMessage="0" showErrorMessage="1" allowBlank="1" errorTitle="Valeur à vérifier" error="Utilisez une valeur autorisée." type="decimal" errorStyle="stop" operator="between">
      <formula1>0</formula1>
      <formula2>1</formula2>
    </dataValidation>
    <dataValidation sqref="B14" showDropDown="0" showInputMessage="0" showErrorMessage="1" allowBlank="1" errorTitle="Valeur à vérifier" error="Utilisez une valeur autorisée." type="decimal" errorStyle="stop" operator="greaterThanOrEqual">
      <formula1>0</formula1>
    </dataValidation>
    <dataValidation sqref="B15:B18" showDropDown="0" showInputMessage="0" showErrorMessage="1" allowBlank="1" errorTitle="Valeur à vérifier" error="Utilisez une valeur autorisée." type="whole" errorStyle="stop" operator="greaterThanOrEqual">
      <formula1>0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34" customWidth="1" min="3" max="3"/>
    <col width="16" customWidth="1" min="4" max="4"/>
    <col width="13" customWidth="1" min="5" max="5"/>
    <col width="17" customWidth="1" min="6" max="6"/>
    <col width="52" customWidth="1" min="7" max="7"/>
    <col width="19" customWidth="1" min="8" max="8"/>
    <col width="19" customWidth="1" min="9" max="9"/>
    <col width="25" customWidth="1" min="10" max="10"/>
    <col width="19" customWidth="1" min="11" max="11"/>
    <col width="20" customWidth="1" min="12" max="12"/>
  </cols>
  <sheetData>
    <row r="1" ht="24" customHeight="1">
      <c r="A1" s="1" t="inlineStr">
        <is>
          <t>02 / BUDGET PRÉVISIONNEL TTC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/>
    <row r="4" ht="22" customHeight="1">
      <c r="A4" s="3" t="inlineStr">
        <is>
          <t>20 lignes de coût reliées à la jauge. Devis et validations à renseigner ; aucun montant n’est engagé.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</t>
        </is>
      </c>
      <c r="B7" s="5" t="inlineStr">
        <is>
          <t>Enveloppe</t>
        </is>
      </c>
      <c r="C7" s="5" t="inlineStr">
        <is>
          <t>Poste</t>
        </is>
      </c>
      <c r="D7" s="5" t="inlineStr">
        <is>
          <t>Unité</t>
        </is>
      </c>
      <c r="E7" s="5" t="inlineStr">
        <is>
          <t>Quantité</t>
        </is>
      </c>
      <c r="F7" s="5" t="inlineStr">
        <is>
          <t>PU TTC</t>
        </is>
      </c>
      <c r="G7" s="5" t="inlineStr">
        <is>
          <t>Hypothèse</t>
        </is>
      </c>
      <c r="H7" s="5" t="inlineStr">
        <is>
          <t>Prévision TTC</t>
        </is>
      </c>
      <c r="I7" s="5" t="inlineStr">
        <is>
          <t>Devis TTC</t>
        </is>
      </c>
      <c r="J7" s="5" t="inlineStr">
        <is>
          <t>Référence devis</t>
        </is>
      </c>
      <c r="K7" s="5" t="inlineStr">
        <is>
          <t>Écart devis</t>
        </is>
      </c>
      <c r="L7" s="5" t="inlineStr">
        <is>
          <t>Validation</t>
        </is>
      </c>
    </row>
    <row r="8" ht="43" customHeight="1">
      <c r="A8" s="18" t="inlineStr">
        <is>
          <t>B01</t>
        </is>
      </c>
      <c r="B8" s="18" t="inlineStr">
        <is>
          <t>Lieu</t>
        </is>
      </c>
      <c r="C8" s="18" t="inlineStr">
        <is>
          <t>Location de salle</t>
        </is>
      </c>
      <c r="D8" s="18" t="inlineStr">
        <is>
          <t>unité</t>
        </is>
      </c>
      <c r="E8" s="21" t="n">
        <v>1</v>
      </c>
      <c r="F8" s="23" t="n">
        <v>500</v>
      </c>
      <c r="G8" s="18" t="inlineStr">
        <is>
          <t>Forfait salle ; à comparer par devis</t>
        </is>
      </c>
      <c r="H8" s="26">
        <f>ROUND(E8*F8,2)</f>
        <v/>
      </c>
      <c r="I8" s="23" t="n"/>
      <c r="J8" s="21" t="n"/>
      <c r="K8" s="26">
        <f>IF(COUNT(I8)=0,"",I8-H8)</f>
        <v/>
      </c>
      <c r="L8" s="21" t="inlineStr">
        <is>
          <t>À chiffrer</t>
        </is>
      </c>
    </row>
    <row r="9" ht="43" customHeight="1">
      <c r="A9" s="20" t="inlineStr">
        <is>
          <t>B02</t>
        </is>
      </c>
      <c r="B9" s="20" t="inlineStr">
        <is>
          <t>Lieu</t>
        </is>
      </c>
      <c r="C9" s="20" t="inlineStr">
        <is>
          <t>Nettoyage / restitution</t>
        </is>
      </c>
      <c r="D9" s="20" t="inlineStr">
        <is>
          <t>unité</t>
        </is>
      </c>
      <c r="E9" s="21" t="n">
        <v>1</v>
      </c>
      <c r="F9" s="23" t="n">
        <v>60</v>
      </c>
      <c r="G9" s="20" t="inlineStr">
        <is>
          <t>Hypothèse si non inclus</t>
        </is>
      </c>
      <c r="H9" s="25">
        <f>ROUND(E9*F9,2)</f>
        <v/>
      </c>
      <c r="I9" s="23" t="n"/>
      <c r="J9" s="21" t="n"/>
      <c r="K9" s="25">
        <f>IF(COUNT(I9)=0,"",I9-H9)</f>
        <v/>
      </c>
      <c r="L9" s="21" t="inlineStr">
        <is>
          <t>À chiffrer</t>
        </is>
      </c>
    </row>
    <row r="10" ht="43" customHeight="1">
      <c r="A10" s="18" t="inlineStr">
        <is>
          <t>B03</t>
        </is>
      </c>
      <c r="B10" s="18" t="inlineStr">
        <is>
          <t>Lieu</t>
        </is>
      </c>
      <c r="C10" s="18" t="inlineStr">
        <is>
          <t>Mobilier complémentaire</t>
        </is>
      </c>
      <c r="D10" s="18" t="inlineStr">
        <is>
          <t>unité</t>
        </is>
      </c>
      <c r="E10" s="21" t="n">
        <v>1</v>
      </c>
      <c r="F10" s="23" t="n">
        <v>40</v>
      </c>
      <c r="G10" s="18" t="inlineStr">
        <is>
          <t>Option selon équipement du lieu</t>
        </is>
      </c>
      <c r="H10" s="26">
        <f>ROUND(E10*F10,2)</f>
        <v/>
      </c>
      <c r="I10" s="23" t="n"/>
      <c r="J10" s="21" t="n"/>
      <c r="K10" s="26">
        <f>IF(COUNT(I10)=0,"",I10-H10)</f>
        <v/>
      </c>
      <c r="L10" s="21" t="inlineStr">
        <is>
          <t>À chiffrer</t>
        </is>
      </c>
    </row>
    <row r="11" ht="43" customHeight="1">
      <c r="A11" s="20" t="inlineStr">
        <is>
          <t>B04</t>
        </is>
      </c>
      <c r="B11" s="20" t="inlineStr">
        <is>
          <t>Technique</t>
        </is>
      </c>
      <c r="C11" s="20" t="inlineStr">
        <is>
          <t>Technicien / régie</t>
        </is>
      </c>
      <c r="D11" s="20" t="inlineStr">
        <is>
          <t>unité</t>
        </is>
      </c>
      <c r="E11" s="21" t="n">
        <v>1</v>
      </c>
      <c r="F11" s="23" t="n">
        <v>250</v>
      </c>
      <c r="G11" s="20" t="inlineStr">
        <is>
          <t>Installation, essais et conduite</t>
        </is>
      </c>
      <c r="H11" s="25">
        <f>ROUND(E11*F11,2)</f>
        <v/>
      </c>
      <c r="I11" s="23" t="n"/>
      <c r="J11" s="21" t="n"/>
      <c r="K11" s="25">
        <f>IF(COUNT(I11)=0,"",I11-H11)</f>
        <v/>
      </c>
      <c r="L11" s="21" t="inlineStr">
        <is>
          <t>À chiffrer</t>
        </is>
      </c>
    </row>
    <row r="12" ht="43" customHeight="1">
      <c r="A12" s="18" t="inlineStr">
        <is>
          <t>B05</t>
        </is>
      </c>
      <c r="B12" s="18" t="inlineStr">
        <is>
          <t>Technique</t>
        </is>
      </c>
      <c r="C12" s="18" t="inlineStr">
        <is>
          <t>Deux micros et sonorisation</t>
        </is>
      </c>
      <c r="D12" s="18" t="inlineStr">
        <is>
          <t>unité</t>
        </is>
      </c>
      <c r="E12" s="21" t="n">
        <v>1</v>
      </c>
      <c r="F12" s="23" t="n">
        <v>150</v>
      </c>
      <c r="G12" s="18" t="inlineStr">
        <is>
          <t>Forfait de location</t>
        </is>
      </c>
      <c r="H12" s="26">
        <f>ROUND(E12*F12,2)</f>
        <v/>
      </c>
      <c r="I12" s="23" t="n"/>
      <c r="J12" s="21" t="n"/>
      <c r="K12" s="26">
        <f>IF(COUNT(I12)=0,"",I12-H12)</f>
        <v/>
      </c>
      <c r="L12" s="21" t="inlineStr">
        <is>
          <t>À chiffrer</t>
        </is>
      </c>
    </row>
    <row r="13" ht="43" customHeight="1">
      <c r="A13" s="20" t="inlineStr">
        <is>
          <t>B06</t>
        </is>
      </c>
      <c r="B13" s="20" t="inlineStr">
        <is>
          <t>Technique</t>
        </is>
      </c>
      <c r="C13" s="20" t="inlineStr">
        <is>
          <t>Câblage / adaptateurs</t>
        </is>
      </c>
      <c r="D13" s="20" t="inlineStr">
        <is>
          <t>unité</t>
        </is>
      </c>
      <c r="E13" s="21" t="n">
        <v>1</v>
      </c>
      <c r="F13" s="23" t="n">
        <v>50</v>
      </c>
      <c r="G13" s="20" t="inlineStr">
        <is>
          <t>Lot de dépannage</t>
        </is>
      </c>
      <c r="H13" s="25">
        <f>ROUND(E13*F13,2)</f>
        <v/>
      </c>
      <c r="I13" s="23" t="n"/>
      <c r="J13" s="21" t="n"/>
      <c r="K13" s="25">
        <f>IF(COUNT(I13)=0,"",I13-H13)</f>
        <v/>
      </c>
      <c r="L13" s="21" t="inlineStr">
        <is>
          <t>À chiffrer</t>
        </is>
      </c>
    </row>
    <row r="14" ht="43" customHeight="1">
      <c r="A14" s="18" t="inlineStr">
        <is>
          <t>B07</t>
        </is>
      </c>
      <c r="B14" s="18" t="inlineStr">
        <is>
          <t>Intervenants</t>
        </is>
      </c>
      <c r="C14" s="18" t="inlineStr">
        <is>
          <t>Intervention 1</t>
        </is>
      </c>
      <c r="D14" s="18" t="inlineStr">
        <is>
          <t>unité</t>
        </is>
      </c>
      <c r="E14" s="21" t="n">
        <v>1</v>
      </c>
      <c r="F14" s="23" t="n">
        <v>100</v>
      </c>
      <c r="G14" s="18" t="inlineStr">
        <is>
          <t>Enveloppe proposée ; conditions non convenues</t>
        </is>
      </c>
      <c r="H14" s="26">
        <f>ROUND(E14*F14,2)</f>
        <v/>
      </c>
      <c r="I14" s="23" t="n"/>
      <c r="J14" s="21" t="n"/>
      <c r="K14" s="26">
        <f>IF(COUNT(I14)=0,"",I14-H14)</f>
        <v/>
      </c>
      <c r="L14" s="21" t="inlineStr">
        <is>
          <t>À chiffrer</t>
        </is>
      </c>
    </row>
    <row r="15" ht="43" customHeight="1">
      <c r="A15" s="20" t="inlineStr">
        <is>
          <t>B08</t>
        </is>
      </c>
      <c r="B15" s="20" t="inlineStr">
        <is>
          <t>Intervenants</t>
        </is>
      </c>
      <c r="C15" s="20" t="inlineStr">
        <is>
          <t>Intervention 2</t>
        </is>
      </c>
      <c r="D15" s="20" t="inlineStr">
        <is>
          <t>unité</t>
        </is>
      </c>
      <c r="E15" s="21" t="n">
        <v>1</v>
      </c>
      <c r="F15" s="23" t="n">
        <v>100</v>
      </c>
      <c r="G15" s="20" t="inlineStr">
        <is>
          <t>Enveloppe proposée ; conditions non convenues</t>
        </is>
      </c>
      <c r="H15" s="25">
        <f>ROUND(E15*F15,2)</f>
        <v/>
      </c>
      <c r="I15" s="23" t="n"/>
      <c r="J15" s="21" t="n"/>
      <c r="K15" s="25">
        <f>IF(COUNT(I15)=0,"",I15-H15)</f>
        <v/>
      </c>
      <c r="L15" s="21" t="inlineStr">
        <is>
          <t>À chiffrer</t>
        </is>
      </c>
    </row>
    <row r="16" ht="43" customHeight="1">
      <c r="A16" s="18" t="inlineStr">
        <is>
          <t>B09</t>
        </is>
      </c>
      <c r="B16" s="18" t="inlineStr">
        <is>
          <t>Intervenants</t>
        </is>
      </c>
      <c r="C16" s="18" t="inlineStr">
        <is>
          <t>Modération</t>
        </is>
      </c>
      <c r="D16" s="18" t="inlineStr">
        <is>
          <t>unité</t>
        </is>
      </c>
      <c r="E16" s="21" t="n">
        <v>1</v>
      </c>
      <c r="F16" s="23" t="n">
        <v>100</v>
      </c>
      <c r="G16" s="18" t="inlineStr">
        <is>
          <t>Enveloppe proposée ; conditions non convenues</t>
        </is>
      </c>
      <c r="H16" s="26">
        <f>ROUND(E16*F16,2)</f>
        <v/>
      </c>
      <c r="I16" s="23" t="n"/>
      <c r="J16" s="21" t="n"/>
      <c r="K16" s="26">
        <f>IF(COUNT(I16)=0,"",I16-H16)</f>
        <v/>
      </c>
      <c r="L16" s="21" t="inlineStr">
        <is>
          <t>À chiffrer</t>
        </is>
      </c>
    </row>
    <row r="17" ht="43" customHeight="1">
      <c r="A17" s="20" t="inlineStr">
        <is>
          <t>B10</t>
        </is>
      </c>
      <c r="B17" s="20" t="inlineStr">
        <is>
          <t>Collation</t>
        </is>
      </c>
      <c r="C17" s="20" t="inlineStr">
        <is>
          <t>Boissons</t>
        </is>
      </c>
      <c r="D17" s="20" t="inlineStr">
        <is>
          <t>participant</t>
        </is>
      </c>
      <c r="E17" s="27">
        <f>'Paramètres'!$B$10</f>
        <v/>
      </c>
      <c r="F17" s="23" t="n">
        <v>1</v>
      </c>
      <c r="G17" s="20" t="inlineStr">
        <is>
          <t>Par participant cible</t>
        </is>
      </c>
      <c r="H17" s="25">
        <f>ROUND(E17*F17,2)</f>
        <v/>
      </c>
      <c r="I17" s="23" t="n"/>
      <c r="J17" s="21" t="n"/>
      <c r="K17" s="25">
        <f>IF(COUNT(I17)=0,"",I17-H17)</f>
        <v/>
      </c>
      <c r="L17" s="21" t="inlineStr">
        <is>
          <t>À chiffrer</t>
        </is>
      </c>
    </row>
    <row r="18" ht="43" customHeight="1">
      <c r="A18" s="18" t="inlineStr">
        <is>
          <t>B11</t>
        </is>
      </c>
      <c r="B18" s="18" t="inlineStr">
        <is>
          <t>Collation</t>
        </is>
      </c>
      <c r="C18" s="18" t="inlineStr">
        <is>
          <t>Collation</t>
        </is>
      </c>
      <c r="D18" s="18" t="inlineStr">
        <is>
          <t>participant</t>
        </is>
      </c>
      <c r="E18" s="28">
        <f>'Paramètres'!$B$10</f>
        <v/>
      </c>
      <c r="F18" s="23" t="n">
        <v>1.5</v>
      </c>
      <c r="G18" s="18" t="inlineStr">
        <is>
          <t>Par participant cible</t>
        </is>
      </c>
      <c r="H18" s="26">
        <f>ROUND(E18*F18,2)</f>
        <v/>
      </c>
      <c r="I18" s="23" t="n"/>
      <c r="J18" s="21" t="n"/>
      <c r="K18" s="26">
        <f>IF(COUNT(I18)=0,"",I18-H18)</f>
        <v/>
      </c>
      <c r="L18" s="21" t="inlineStr">
        <is>
          <t>À chiffrer</t>
        </is>
      </c>
    </row>
    <row r="19" ht="43" customHeight="1">
      <c r="A19" s="20" t="inlineStr">
        <is>
          <t>B12</t>
        </is>
      </c>
      <c r="B19" s="20" t="inlineStr">
        <is>
          <t>Collation</t>
        </is>
      </c>
      <c r="C19" s="20" t="inlineStr">
        <is>
          <t>Consommables</t>
        </is>
      </c>
      <c r="D19" s="20" t="inlineStr">
        <is>
          <t>participant</t>
        </is>
      </c>
      <c r="E19" s="27">
        <f>'Paramètres'!$B$10</f>
        <v/>
      </c>
      <c r="F19" s="23" t="n">
        <v>0.5</v>
      </c>
      <c r="G19" s="20" t="inlineStr">
        <is>
          <t>Par participant cible</t>
        </is>
      </c>
      <c r="H19" s="25">
        <f>ROUND(E19*F19,2)</f>
        <v/>
      </c>
      <c r="I19" s="23" t="n"/>
      <c r="J19" s="21" t="n"/>
      <c r="K19" s="25">
        <f>IF(COUNT(I19)=0,"",I19-H19)</f>
        <v/>
      </c>
      <c r="L19" s="21" t="inlineStr">
        <is>
          <t>À chiffrer</t>
        </is>
      </c>
    </row>
    <row r="20" ht="43" customHeight="1">
      <c r="A20" s="18" t="inlineStr">
        <is>
          <t>B13</t>
        </is>
      </c>
      <c r="B20" s="18" t="inlineStr">
        <is>
          <t>Supports</t>
        </is>
      </c>
      <c r="C20" s="18" t="inlineStr">
        <is>
          <t>Affiches A3</t>
        </is>
      </c>
      <c r="D20" s="18" t="inlineStr">
        <is>
          <t>unité</t>
        </is>
      </c>
      <c r="E20" s="21" t="n">
        <v>10</v>
      </c>
      <c r="F20" s="23" t="n">
        <v>2</v>
      </c>
      <c r="G20" s="18" t="inlineStr">
        <is>
          <t>Hypothèse impression locale</t>
        </is>
      </c>
      <c r="H20" s="26">
        <f>ROUND(E20*F20,2)</f>
        <v/>
      </c>
      <c r="I20" s="23" t="n"/>
      <c r="J20" s="21" t="n"/>
      <c r="K20" s="26">
        <f>IF(COUNT(I20)=0,"",I20-H20)</f>
        <v/>
      </c>
      <c r="L20" s="21" t="inlineStr">
        <is>
          <t>À chiffrer</t>
        </is>
      </c>
    </row>
    <row r="21" ht="43" customHeight="1">
      <c r="A21" s="20" t="inlineStr">
        <is>
          <t>B14</t>
        </is>
      </c>
      <c r="B21" s="20" t="inlineStr">
        <is>
          <t>Supports</t>
        </is>
      </c>
      <c r="C21" s="20" t="inlineStr">
        <is>
          <t>Invitations A5</t>
        </is>
      </c>
      <c r="D21" s="20" t="inlineStr">
        <is>
          <t>unité</t>
        </is>
      </c>
      <c r="E21" s="21" t="n">
        <v>50</v>
      </c>
      <c r="F21" s="23" t="n">
        <v>0.4</v>
      </c>
      <c r="G21" s="20" t="inlineStr">
        <is>
          <t>Hypothèse tirage limité</t>
        </is>
      </c>
      <c r="H21" s="25">
        <f>ROUND(E21*F21,2)</f>
        <v/>
      </c>
      <c r="I21" s="23" t="n"/>
      <c r="J21" s="21" t="n"/>
      <c r="K21" s="25">
        <f>IF(COUNT(I21)=0,"",I21-H21)</f>
        <v/>
      </c>
      <c r="L21" s="21" t="inlineStr">
        <is>
          <t>À chiffrer</t>
        </is>
      </c>
    </row>
    <row r="22" ht="43" customHeight="1">
      <c r="A22" s="18" t="inlineStr">
        <is>
          <t>B15</t>
        </is>
      </c>
      <c r="B22" s="18" t="inlineStr">
        <is>
          <t>Supports</t>
        </is>
      </c>
      <c r="C22" s="18" t="inlineStr">
        <is>
          <t>Programmes / repères</t>
        </is>
      </c>
      <c r="D22" s="18" t="inlineStr">
        <is>
          <t>participant</t>
        </is>
      </c>
      <c r="E22" s="28">
        <f>'Paramètres'!$B$10</f>
        <v/>
      </c>
      <c r="F22" s="23" t="n">
        <v>0.5</v>
      </c>
      <c r="G22" s="18" t="inlineStr">
        <is>
          <t>Par participant cible</t>
        </is>
      </c>
      <c r="H22" s="26">
        <f>ROUND(E22*F22,2)</f>
        <v/>
      </c>
      <c r="I22" s="23" t="n"/>
      <c r="J22" s="21" t="n"/>
      <c r="K22" s="26">
        <f>IF(COUNT(I22)=0,"",I22-H22)</f>
        <v/>
      </c>
      <c r="L22" s="21" t="inlineStr">
        <is>
          <t>À chiffrer</t>
        </is>
      </c>
    </row>
    <row r="23" ht="43" customHeight="1">
      <c r="A23" s="20" t="inlineStr">
        <is>
          <t>B16</t>
        </is>
      </c>
      <c r="B23" s="20" t="inlineStr">
        <is>
          <t>Supports</t>
        </is>
      </c>
      <c r="C23" s="20" t="inlineStr">
        <is>
          <t>Signalétique accueil</t>
        </is>
      </c>
      <c r="D23" s="20" t="inlineStr">
        <is>
          <t>unité</t>
        </is>
      </c>
      <c r="E23" s="21" t="n">
        <v>1</v>
      </c>
      <c r="F23" s="23" t="n">
        <v>10</v>
      </c>
      <c r="G23" s="20" t="inlineStr">
        <is>
          <t>Lot</t>
        </is>
      </c>
      <c r="H23" s="25">
        <f>ROUND(E23*F23,2)</f>
        <v/>
      </c>
      <c r="I23" s="23" t="n"/>
      <c r="J23" s="21" t="n"/>
      <c r="K23" s="25">
        <f>IF(COUNT(I23)=0,"",I23-H23)</f>
        <v/>
      </c>
      <c r="L23" s="21" t="inlineStr">
        <is>
          <t>À chiffrer</t>
        </is>
      </c>
    </row>
    <row r="24" ht="43" customHeight="1">
      <c r="A24" s="18" t="inlineStr">
        <is>
          <t>B17</t>
        </is>
      </c>
      <c r="B24" s="18" t="inlineStr">
        <is>
          <t>Administration</t>
        </is>
      </c>
      <c r="C24" s="18" t="inlineStr">
        <is>
          <t>Assurance événement</t>
        </is>
      </c>
      <c r="D24" s="18" t="inlineStr">
        <is>
          <t>unité</t>
        </is>
      </c>
      <c r="E24" s="21" t="n">
        <v>1</v>
      </c>
      <c r="F24" s="23" t="n">
        <v>80</v>
      </c>
      <c r="G24" s="18" t="inlineStr">
        <is>
          <t>À vérifier avec la structure porteuse</t>
        </is>
      </c>
      <c r="H24" s="26">
        <f>ROUND(E24*F24,2)</f>
        <v/>
      </c>
      <c r="I24" s="23" t="n"/>
      <c r="J24" s="21" t="n"/>
      <c r="K24" s="26">
        <f>IF(COUNT(I24)=0,"",I24-H24)</f>
        <v/>
      </c>
      <c r="L24" s="21" t="inlineStr">
        <is>
          <t>À chiffrer</t>
        </is>
      </c>
    </row>
    <row r="25" ht="43" customHeight="1">
      <c r="A25" s="20" t="inlineStr">
        <is>
          <t>B18</t>
        </is>
      </c>
      <c r="B25" s="20" t="inlineStr">
        <is>
          <t>Administration</t>
        </is>
      </c>
      <c r="C25" s="20" t="inlineStr">
        <is>
          <t>Frais administratifs</t>
        </is>
      </c>
      <c r="D25" s="20" t="inlineStr">
        <is>
          <t>unité</t>
        </is>
      </c>
      <c r="E25" s="21" t="n">
        <v>1</v>
      </c>
      <c r="F25" s="23" t="n">
        <v>40</v>
      </c>
      <c r="G25" s="20" t="inlineStr">
        <is>
          <t>Provision de scénario</t>
        </is>
      </c>
      <c r="H25" s="25">
        <f>ROUND(E25*F25,2)</f>
        <v/>
      </c>
      <c r="I25" s="23" t="n"/>
      <c r="J25" s="21" t="n"/>
      <c r="K25" s="25">
        <f>IF(COUNT(I25)=0,"",I25-H25)</f>
        <v/>
      </c>
      <c r="L25" s="21" t="inlineStr">
        <is>
          <t>À chiffrer</t>
        </is>
      </c>
    </row>
    <row r="26" ht="43" customHeight="1">
      <c r="A26" s="18" t="inlineStr">
        <is>
          <t>B19</t>
        </is>
      </c>
      <c r="B26" s="18" t="inlineStr">
        <is>
          <t>Accessibilité</t>
        </is>
      </c>
      <c r="C26" s="18" t="inlineStr">
        <is>
          <t>Adaptations / accompagnement</t>
        </is>
      </c>
      <c r="D26" s="18" t="inlineStr">
        <is>
          <t>unité</t>
        </is>
      </c>
      <c r="E26" s="21" t="n">
        <v>1</v>
      </c>
      <c r="F26" s="23" t="n">
        <v>120</v>
      </c>
      <c r="G26" s="18" t="inlineStr">
        <is>
          <t>Provision ; besoins à vérifier avec le lieu</t>
        </is>
      </c>
      <c r="H26" s="26">
        <f>ROUND(E26*F26,2)</f>
        <v/>
      </c>
      <c r="I26" s="23" t="n"/>
      <c r="J26" s="21" t="n"/>
      <c r="K26" s="26">
        <f>IF(COUNT(I26)=0,"",I26-H26)</f>
        <v/>
      </c>
      <c r="L26" s="21" t="inlineStr">
        <is>
          <t>À chiffrer</t>
        </is>
      </c>
    </row>
    <row r="27" ht="43" customHeight="1">
      <c r="A27" s="20" t="inlineStr">
        <is>
          <t>B20</t>
        </is>
      </c>
      <c r="B27" s="20" t="inlineStr">
        <is>
          <t>Documentation</t>
        </is>
      </c>
      <c r="C27" s="20" t="inlineStr">
        <is>
          <t>Photographie / documentation</t>
        </is>
      </c>
      <c r="D27" s="20" t="inlineStr">
        <is>
          <t>unité</t>
        </is>
      </c>
      <c r="E27" s="21" t="n">
        <v>1</v>
      </c>
      <c r="F27" s="23" t="n">
        <v>180</v>
      </c>
      <c r="G27" s="20" t="inlineStr">
        <is>
          <t>Option à arbitrer avant engagement</t>
        </is>
      </c>
      <c r="H27" s="25">
        <f>ROUND(E27*F27,2)</f>
        <v/>
      </c>
      <c r="I27" s="23" t="n"/>
      <c r="J27" s="21" t="n"/>
      <c r="K27" s="25">
        <f>IF(COUNT(I27)=0,"",I27-H27)</f>
        <v/>
      </c>
      <c r="L27" s="21" t="inlineStr">
        <is>
          <t>À chiffrer</t>
        </is>
      </c>
    </row>
    <row r="28"/>
    <row r="29"/>
    <row r="30"/>
    <row r="31"/>
    <row r="32"/>
    <row r="33" ht="26" customHeight="1">
      <c r="G33" t="inlineStr">
        <is>
          <t>BASE PRÉVISIONNELLE</t>
        </is>
      </c>
      <c r="H33" s="29">
        <f>SUM(H8:H27)</f>
        <v/>
      </c>
    </row>
    <row r="34" ht="26" customHeight="1">
      <c r="G34" t="inlineStr">
        <is>
          <t>TAUX DE RÉSERVE</t>
        </is>
      </c>
      <c r="H34" s="30">
        <f>'Paramètres'!B13</f>
        <v/>
      </c>
    </row>
    <row r="35" ht="26" customHeight="1">
      <c r="G35" t="inlineStr">
        <is>
          <t>RÉSERVE TTC</t>
        </is>
      </c>
      <c r="H35" s="29">
        <f>ROUND(H33*H34,2)</f>
        <v/>
      </c>
    </row>
    <row r="36" ht="26" customHeight="1">
      <c r="G36" t="inlineStr">
        <is>
          <t>TOTAL PRÉVISIONNEL TTC</t>
        </is>
      </c>
      <c r="H36" s="29">
        <f>H33+H35</f>
        <v/>
      </c>
    </row>
    <row r="37" ht="26" customHeight="1">
      <c r="G37" t="inlineStr">
        <is>
          <t>PLAFOND TTC</t>
        </is>
      </c>
      <c r="H37" s="29">
        <f>'Paramètres'!B14</f>
        <v/>
      </c>
    </row>
    <row r="38" ht="26" customHeight="1">
      <c r="G38" t="inlineStr">
        <is>
          <t>MARGE SUR PLAFOND</t>
        </is>
      </c>
      <c r="H38" s="29">
        <f>H37-H36</f>
        <v/>
      </c>
    </row>
    <row r="39" ht="26" customHeight="1">
      <c r="G39" t="inlineStr">
        <is>
          <t>COÛT PAR PARTICIPANT</t>
        </is>
      </c>
      <c r="H39" s="29">
        <f>IFERROR(H36/'Paramètres'!B10,0)</f>
        <v/>
      </c>
    </row>
  </sheetData>
  <autoFilter ref="A7:L27"/>
  <mergeCells count="2">
    <mergeCell ref="A4:L5"/>
    <mergeCell ref="A1:L2"/>
  </mergeCells>
  <conditionalFormatting sqref="H38">
    <cfRule type="expression" priority="1" dxfId="0">
      <formula>H38&lt;0</formula>
    </cfRule>
  </conditionalFormatting>
  <dataValidations count="3">
    <dataValidation sqref="E8:E27" showDropDown="0" showInputMessage="0" showErrorMessage="1" allowBlank="1" errorTitle="Valeur à vérifier" error="Utilisez une valeur autorisée." type="decimal" errorStyle="stop" operator="greaterThanOrEqual">
      <formula1>0</formula1>
    </dataValidation>
    <dataValidation sqref="F8:F27" showDropDown="0" showInputMessage="0" showErrorMessage="1" allowBlank="1" errorTitle="Valeur à vérifier" error="Utilisez une valeur autorisée." type="decimal" errorStyle="stop" operator="greaterThanOrEqual">
      <formula1>0</formula1>
    </dataValidation>
    <dataValidation sqref="L8:L27" showDropDown="0" showInputMessage="0" showErrorMessage="1" allowBlank="1" errorTitle="Valeur à vérifier" error="Utilisez une valeur autorisée." type="list" errorStyle="stop">
      <formula1>"À chiffrer,Devis reçu,À arbitrer,Validé"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3" customWidth="1" min="3" max="3"/>
    <col width="19" customWidth="1" min="4" max="4"/>
    <col width="19" customWidth="1" min="5" max="5"/>
    <col width="19" customWidth="1" min="6" max="6"/>
    <col width="23" customWidth="1" min="7" max="7"/>
    <col width="35" customWidth="1" min="8" max="8"/>
    <col width="23" customWidth="1" min="9" max="9"/>
    <col width="50" customWidth="1" min="10" max="10"/>
  </cols>
  <sheetData>
    <row r="1" ht="24" customHeight="1">
      <c r="A1" s="1" t="inlineStr">
        <is>
          <t>03 / PLAN DE FINANCEMENT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/>
    <row r="4" ht="22" customHeight="1">
      <c r="A4" s="3" t="inlineStr">
        <is>
          <t>Les intentions ne sont pas des ressources acquises. Saisir les accords et encaissements uniquement sur preuve.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</t>
        </is>
      </c>
      <c r="B7" s="5" t="inlineStr">
        <is>
          <t>Source envisagée</t>
        </is>
      </c>
      <c r="C7" s="5" t="inlineStr">
        <is>
          <t>Nature</t>
        </is>
      </c>
      <c r="D7" s="5" t="inlineStr">
        <is>
          <t>Hypothèse TTC</t>
        </is>
      </c>
      <c r="E7" s="5" t="inlineStr">
        <is>
          <t>Accord TTC</t>
        </is>
      </c>
      <c r="F7" s="5" t="inlineStr">
        <is>
          <t>Encaissé TTC</t>
        </is>
      </c>
      <c r="G7" s="5" t="inlineStr">
        <is>
          <t>Statut</t>
        </is>
      </c>
      <c r="H7" s="5" t="inlineStr">
        <is>
          <t>Preuve / référence</t>
        </is>
      </c>
      <c r="I7" s="5" t="inlineStr">
        <is>
          <t>Responsable</t>
        </is>
      </c>
      <c r="J7" s="5" t="inlineStr">
        <is>
          <t>Prochaine action</t>
        </is>
      </c>
    </row>
    <row r="8" ht="43" customHeight="1">
      <c r="A8" s="18" t="inlineStr">
        <is>
          <t>F01</t>
        </is>
      </c>
      <c r="B8" s="21" t="inlineStr">
        <is>
          <t>Structure porteuse</t>
        </is>
      </c>
      <c r="C8" s="21" t="inlineStr">
        <is>
          <t>Contribution interne</t>
        </is>
      </c>
      <c r="D8" s="23" t="n">
        <v>1500</v>
      </c>
      <c r="E8" s="23" t="n"/>
      <c r="F8" s="23" t="n"/>
      <c r="G8" s="21" t="inlineStr">
        <is>
          <t>À rechercher</t>
        </is>
      </c>
      <c r="H8" s="21" t="n"/>
      <c r="I8" s="21" t="inlineStr">
        <is>
          <t>Responsable projet</t>
        </is>
      </c>
      <c r="J8" s="21" t="inlineStr">
        <is>
          <t>Valider la capacité de financement.</t>
        </is>
      </c>
    </row>
    <row r="9" ht="43" customHeight="1">
      <c r="A9" s="20" t="inlineStr">
        <is>
          <t>F02</t>
        </is>
      </c>
      <c r="B9" s="21" t="inlineStr">
        <is>
          <t>Soutien à identifier</t>
        </is>
      </c>
      <c r="C9" s="21" t="inlineStr">
        <is>
          <t>Contribution complémentaire</t>
        </is>
      </c>
      <c r="D9" s="25">
        <f>MAX(0,'Budget'!H36-D8)</f>
        <v/>
      </c>
      <c r="E9" s="23" t="n"/>
      <c r="F9" s="23" t="n"/>
      <c r="G9" s="21" t="inlineStr">
        <is>
          <t>À rechercher</t>
        </is>
      </c>
      <c r="H9" s="21" t="n"/>
      <c r="I9" s="21" t="inlineStr">
        <is>
          <t>Responsable projet</t>
        </is>
      </c>
      <c r="J9" s="21" t="inlineStr">
        <is>
          <t>Identifier une ressource ou réduire les options.</t>
        </is>
      </c>
    </row>
    <row r="10" ht="43" customHeight="1">
      <c r="A10" s="18" t="inlineStr">
        <is>
          <t>F03</t>
        </is>
      </c>
      <c r="B10" s="21" t="inlineStr">
        <is>
          <t>Apport en nature éventuel</t>
        </is>
      </c>
      <c r="C10" s="21" t="inlineStr">
        <is>
          <t>Valorisation hors trésorerie</t>
        </is>
      </c>
      <c r="D10" s="23" t="n"/>
      <c r="E10" s="23" t="n"/>
      <c r="F10" s="23" t="n"/>
      <c r="G10" s="21" t="inlineStr">
        <is>
          <t>À rechercher</t>
        </is>
      </c>
      <c r="H10" s="21" t="n"/>
      <c r="I10" s="21" t="inlineStr">
        <is>
          <t>Logistique</t>
        </is>
      </c>
      <c r="J10" s="21" t="inlineStr">
        <is>
          <t>Ne pas additionner au financement monétaire.</t>
        </is>
      </c>
    </row>
    <row r="11"/>
    <row r="12"/>
    <row r="13"/>
    <row r="14">
      <c r="A14" t="inlineStr">
        <is>
          <t>RESSOURCES MONÉTAIRES</t>
        </is>
      </c>
      <c r="D14" s="16">
        <f>SUM(D8:D9)</f>
        <v/>
      </c>
      <c r="E14" s="16">
        <f>SUM(E8:E9)</f>
        <v/>
      </c>
      <c r="F14" s="16">
        <f>SUM(F8:F9)</f>
        <v/>
      </c>
    </row>
    <row r="15">
      <c r="A15" t="inlineStr">
        <is>
          <t>RESTE À COUVRIR</t>
        </is>
      </c>
      <c r="E15" s="16">
        <f>MAX(0,'Budget'!H36-E14)</f>
        <v/>
      </c>
      <c r="F15" s="16">
        <f>MAX(0,'Budget'!H36-F14)</f>
        <v/>
      </c>
    </row>
  </sheetData>
  <autoFilter ref="A7:J10"/>
  <mergeCells count="2">
    <mergeCell ref="A1:J2"/>
    <mergeCell ref="A4:J5"/>
  </mergeCells>
  <dataValidations count="4">
    <dataValidation sqref="G8:G10" showDropDown="0" showInputMessage="0" showErrorMessage="1" allowBlank="1" errorTitle="Valeur à vérifier" error="Utilisez une valeur autorisée." type="list" errorStyle="stop">
      <formula1>"À rechercher,Contact à préparer,En discussion,Accord écrit,Refusé"</formula1>
    </dataValidation>
    <dataValidation sqref="D8:D10" showDropDown="0" showInputMessage="0" showErrorMessage="1" allowBlank="1" errorTitle="Valeur à vérifier" error="Utilisez une valeur autorisée." type="decimal" errorStyle="stop" operator="greaterThanOrEqual">
      <formula1>0</formula1>
    </dataValidation>
    <dataValidation sqref="E8:E10" showDropDown="0" showInputMessage="0" showErrorMessage="1" allowBlank="1" errorTitle="Valeur à vérifier" error="Utilisez une valeur autorisée." type="decimal" errorStyle="stop" operator="greaterThanOrEqual">
      <formula1>0</formula1>
    </dataValidation>
    <dataValidation sqref="F8:F10" showDropDown="0" showInputMessage="0" showErrorMessage="1" allowBlank="1" errorTitle="Valeur à vérifier" error="Utilisez une valeur autorisée." type="decimal" errorStyle="stop" operator="greaterThanOrEqual">
      <formula1>0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47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27" customWidth="1" min="3" max="3"/>
    <col width="25" customWidth="1" min="4" max="4"/>
    <col width="18" customWidth="1" min="5" max="5"/>
    <col width="19" customWidth="1" min="6" max="6"/>
    <col width="18" customWidth="1" min="7" max="7"/>
    <col width="19" customWidth="1" min="8" max="8"/>
    <col width="24" customWidth="1" min="9" max="9"/>
    <col width="25" customWidth="1" min="10" max="10"/>
    <col width="52" customWidth="1" min="11" max="11"/>
  </cols>
  <sheetData>
    <row r="1" ht="24" customHeight="1">
      <c r="A1" s="1" t="inlineStr">
        <is>
          <t>04 / ENGAGEMENTS ET PAIEMENTS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/>
    <row r="4" ht="22" customHeight="1">
      <c r="A4" s="3" t="inlineStr">
        <is>
          <t>Registre vierge. Une ligne par pièce ; renseigner 0 si le coût réel est nul. Ne pas saisir ici les hypothèses du budget.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 budget</t>
        </is>
      </c>
      <c r="B7" s="5" t="inlineStr">
        <is>
          <t>Dépense</t>
        </is>
      </c>
      <c r="C7" s="5" t="inlineStr">
        <is>
          <t>Fournisseur</t>
        </is>
      </c>
      <c r="D7" s="5" t="inlineStr">
        <is>
          <t>Pièce / devis</t>
        </is>
      </c>
      <c r="E7" s="5" t="inlineStr">
        <is>
          <t>Engagé TTC</t>
        </is>
      </c>
      <c r="F7" s="5" t="inlineStr">
        <is>
          <t>Date engagement</t>
        </is>
      </c>
      <c r="G7" s="5" t="inlineStr">
        <is>
          <t>Payé TTC</t>
        </is>
      </c>
      <c r="H7" s="5" t="inlineStr">
        <is>
          <t>Date paiement</t>
        </is>
      </c>
      <c r="I7" s="5" t="inlineStr">
        <is>
          <t>Statut</t>
        </is>
      </c>
      <c r="J7" s="5" t="inlineStr">
        <is>
          <t>Pièce facture</t>
        </is>
      </c>
      <c r="K7" s="5" t="inlineStr">
        <is>
          <t>Contrôle</t>
        </is>
      </c>
    </row>
    <row r="8" ht="43" customHeight="1">
      <c r="A8" s="21" t="n"/>
      <c r="B8" s="21" t="n"/>
      <c r="C8" s="21" t="n"/>
      <c r="D8" s="21" t="n"/>
      <c r="E8" s="23" t="n"/>
      <c r="F8" s="19" t="n"/>
      <c r="G8" s="23" t="n"/>
      <c r="H8" s="19" t="n"/>
      <c r="I8" s="21" t="n"/>
      <c r="J8" s="21" t="n"/>
      <c r="K8" s="28">
        <f>IF(COUNTA(A8:J8)=0,"",IF(A8="","ID budget manquant",IF(COUNTIF(BudgetIDs,A8)=0,"ID budget inconnu",IF(AND(ISNUMBER(G8),NOT(ISNUMBER(E8))),"Engagement à renseigner",IF(G8&gt;E8,"Paiement supérieur à engagement","À rapprocher")))))</f>
        <v/>
      </c>
    </row>
    <row r="9" ht="43" customHeight="1">
      <c r="A9" s="21" t="n"/>
      <c r="B9" s="21" t="n"/>
      <c r="C9" s="21" t="n"/>
      <c r="D9" s="21" t="n"/>
      <c r="E9" s="23" t="n"/>
      <c r="F9" s="19" t="n"/>
      <c r="G9" s="23" t="n"/>
      <c r="H9" s="19" t="n"/>
      <c r="I9" s="21" t="n"/>
      <c r="J9" s="21" t="n"/>
      <c r="K9" s="27">
        <f>IF(COUNTA(A9:J9)=0,"",IF(A9="","ID budget manquant",IF(COUNTIF(BudgetIDs,A9)=0,"ID budget inconnu",IF(AND(ISNUMBER(G9),NOT(ISNUMBER(E9))),"Engagement à renseigner",IF(G9&gt;E9,"Paiement supérieur à engagement","À rapprocher")))))</f>
        <v/>
      </c>
    </row>
    <row r="10" ht="43" customHeight="1">
      <c r="A10" s="21" t="n"/>
      <c r="B10" s="21" t="n"/>
      <c r="C10" s="21" t="n"/>
      <c r="D10" s="21" t="n"/>
      <c r="E10" s="23" t="n"/>
      <c r="F10" s="19" t="n"/>
      <c r="G10" s="23" t="n"/>
      <c r="H10" s="19" t="n"/>
      <c r="I10" s="21" t="n"/>
      <c r="J10" s="21" t="n"/>
      <c r="K10" s="28">
        <f>IF(COUNTA(A10:J10)=0,"",IF(A10="","ID budget manquant",IF(COUNTIF(BudgetIDs,A10)=0,"ID budget inconnu",IF(AND(ISNUMBER(G10),NOT(ISNUMBER(E10))),"Engagement à renseigner",IF(G10&gt;E10,"Paiement supérieur à engagement","À rapprocher")))))</f>
        <v/>
      </c>
    </row>
    <row r="11" ht="43" customHeight="1">
      <c r="A11" s="21" t="n"/>
      <c r="B11" s="21" t="n"/>
      <c r="C11" s="21" t="n"/>
      <c r="D11" s="21" t="n"/>
      <c r="E11" s="23" t="n"/>
      <c r="F11" s="19" t="n"/>
      <c r="G11" s="23" t="n"/>
      <c r="H11" s="19" t="n"/>
      <c r="I11" s="21" t="n"/>
      <c r="J11" s="21" t="n"/>
      <c r="K11" s="27">
        <f>IF(COUNTA(A11:J11)=0,"",IF(A11="","ID budget manquant",IF(COUNTIF(BudgetIDs,A11)=0,"ID budget inconnu",IF(AND(ISNUMBER(G11),NOT(ISNUMBER(E11))),"Engagement à renseigner",IF(G11&gt;E11,"Paiement supérieur à engagement","À rapprocher")))))</f>
        <v/>
      </c>
    </row>
    <row r="12" ht="43" customHeight="1">
      <c r="A12" s="21" t="n"/>
      <c r="B12" s="21" t="n"/>
      <c r="C12" s="21" t="n"/>
      <c r="D12" s="21" t="n"/>
      <c r="E12" s="23" t="n"/>
      <c r="F12" s="19" t="n"/>
      <c r="G12" s="23" t="n"/>
      <c r="H12" s="19" t="n"/>
      <c r="I12" s="21" t="n"/>
      <c r="J12" s="21" t="n"/>
      <c r="K12" s="28">
        <f>IF(COUNTA(A12:J12)=0,"",IF(A12="","ID budget manquant",IF(COUNTIF(BudgetIDs,A12)=0,"ID budget inconnu",IF(AND(ISNUMBER(G12),NOT(ISNUMBER(E12))),"Engagement à renseigner",IF(G12&gt;E12,"Paiement supérieur à engagement","À rapprocher")))))</f>
        <v/>
      </c>
    </row>
    <row r="13" ht="43" customHeight="1">
      <c r="A13" s="21" t="n"/>
      <c r="B13" s="21" t="n"/>
      <c r="C13" s="21" t="n"/>
      <c r="D13" s="21" t="n"/>
      <c r="E13" s="23" t="n"/>
      <c r="F13" s="19" t="n"/>
      <c r="G13" s="23" t="n"/>
      <c r="H13" s="19" t="n"/>
      <c r="I13" s="21" t="n"/>
      <c r="J13" s="21" t="n"/>
      <c r="K13" s="27">
        <f>IF(COUNTA(A13:J13)=0,"",IF(A13="","ID budget manquant",IF(COUNTIF(BudgetIDs,A13)=0,"ID budget inconnu",IF(AND(ISNUMBER(G13),NOT(ISNUMBER(E13))),"Engagement à renseigner",IF(G13&gt;E13,"Paiement supérieur à engagement","À rapprocher")))))</f>
        <v/>
      </c>
    </row>
    <row r="14" ht="43" customHeight="1">
      <c r="A14" s="21" t="n"/>
      <c r="B14" s="21" t="n"/>
      <c r="C14" s="21" t="n"/>
      <c r="D14" s="21" t="n"/>
      <c r="E14" s="23" t="n"/>
      <c r="F14" s="19" t="n"/>
      <c r="G14" s="23" t="n"/>
      <c r="H14" s="19" t="n"/>
      <c r="I14" s="21" t="n"/>
      <c r="J14" s="21" t="n"/>
      <c r="K14" s="28">
        <f>IF(COUNTA(A14:J14)=0,"",IF(A14="","ID budget manquant",IF(COUNTIF(BudgetIDs,A14)=0,"ID budget inconnu",IF(AND(ISNUMBER(G14),NOT(ISNUMBER(E14))),"Engagement à renseigner",IF(G14&gt;E14,"Paiement supérieur à engagement","À rapprocher")))))</f>
        <v/>
      </c>
    </row>
    <row r="15" ht="43" customHeight="1">
      <c r="A15" s="21" t="n"/>
      <c r="B15" s="21" t="n"/>
      <c r="C15" s="21" t="n"/>
      <c r="D15" s="21" t="n"/>
      <c r="E15" s="23" t="n"/>
      <c r="F15" s="19" t="n"/>
      <c r="G15" s="23" t="n"/>
      <c r="H15" s="19" t="n"/>
      <c r="I15" s="21" t="n"/>
      <c r="J15" s="21" t="n"/>
      <c r="K15" s="27">
        <f>IF(COUNTA(A15:J15)=0,"",IF(A15="","ID budget manquant",IF(COUNTIF(BudgetIDs,A15)=0,"ID budget inconnu",IF(AND(ISNUMBER(G15),NOT(ISNUMBER(E15))),"Engagement à renseigner",IF(G15&gt;E15,"Paiement supérieur à engagement","À rapprocher")))))</f>
        <v/>
      </c>
    </row>
    <row r="16" ht="43" customHeight="1">
      <c r="A16" s="21" t="n"/>
      <c r="B16" s="21" t="n"/>
      <c r="C16" s="21" t="n"/>
      <c r="D16" s="21" t="n"/>
      <c r="E16" s="23" t="n"/>
      <c r="F16" s="19" t="n"/>
      <c r="G16" s="23" t="n"/>
      <c r="H16" s="19" t="n"/>
      <c r="I16" s="21" t="n"/>
      <c r="J16" s="21" t="n"/>
      <c r="K16" s="28">
        <f>IF(COUNTA(A16:J16)=0,"",IF(A16="","ID budget manquant",IF(COUNTIF(BudgetIDs,A16)=0,"ID budget inconnu",IF(AND(ISNUMBER(G16),NOT(ISNUMBER(E16))),"Engagement à renseigner",IF(G16&gt;E16,"Paiement supérieur à engagement","À rapprocher")))))</f>
        <v/>
      </c>
    </row>
    <row r="17" ht="43" customHeight="1">
      <c r="A17" s="21" t="n"/>
      <c r="B17" s="21" t="n"/>
      <c r="C17" s="21" t="n"/>
      <c r="D17" s="21" t="n"/>
      <c r="E17" s="23" t="n"/>
      <c r="F17" s="19" t="n"/>
      <c r="G17" s="23" t="n"/>
      <c r="H17" s="19" t="n"/>
      <c r="I17" s="21" t="n"/>
      <c r="J17" s="21" t="n"/>
      <c r="K17" s="27">
        <f>IF(COUNTA(A17:J17)=0,"",IF(A17="","ID budget manquant",IF(COUNTIF(BudgetIDs,A17)=0,"ID budget inconnu",IF(AND(ISNUMBER(G17),NOT(ISNUMBER(E17))),"Engagement à renseigner",IF(G17&gt;E17,"Paiement supérieur à engagement","À rapprocher")))))</f>
        <v/>
      </c>
    </row>
    <row r="18" ht="43" customHeight="1">
      <c r="A18" s="21" t="n"/>
      <c r="B18" s="21" t="n"/>
      <c r="C18" s="21" t="n"/>
      <c r="D18" s="21" t="n"/>
      <c r="E18" s="23" t="n"/>
      <c r="F18" s="19" t="n"/>
      <c r="G18" s="23" t="n"/>
      <c r="H18" s="19" t="n"/>
      <c r="I18" s="21" t="n"/>
      <c r="J18" s="21" t="n"/>
      <c r="K18" s="28">
        <f>IF(COUNTA(A18:J18)=0,"",IF(A18="","ID budget manquant",IF(COUNTIF(BudgetIDs,A18)=0,"ID budget inconnu",IF(AND(ISNUMBER(G18),NOT(ISNUMBER(E18))),"Engagement à renseigner",IF(G18&gt;E18,"Paiement supérieur à engagement","À rapprocher")))))</f>
        <v/>
      </c>
    </row>
    <row r="19" ht="43" customHeight="1">
      <c r="A19" s="21" t="n"/>
      <c r="B19" s="21" t="n"/>
      <c r="C19" s="21" t="n"/>
      <c r="D19" s="21" t="n"/>
      <c r="E19" s="23" t="n"/>
      <c r="F19" s="19" t="n"/>
      <c r="G19" s="23" t="n"/>
      <c r="H19" s="19" t="n"/>
      <c r="I19" s="21" t="n"/>
      <c r="J19" s="21" t="n"/>
      <c r="K19" s="27">
        <f>IF(COUNTA(A19:J19)=0,"",IF(A19="","ID budget manquant",IF(COUNTIF(BudgetIDs,A19)=0,"ID budget inconnu",IF(AND(ISNUMBER(G19),NOT(ISNUMBER(E19))),"Engagement à renseigner",IF(G19&gt;E19,"Paiement supérieur à engagement","À rapprocher")))))</f>
        <v/>
      </c>
    </row>
    <row r="20" ht="43" customHeight="1">
      <c r="A20" s="21" t="n"/>
      <c r="B20" s="21" t="n"/>
      <c r="C20" s="21" t="n"/>
      <c r="D20" s="21" t="n"/>
      <c r="E20" s="23" t="n"/>
      <c r="F20" s="19" t="n"/>
      <c r="G20" s="23" t="n"/>
      <c r="H20" s="19" t="n"/>
      <c r="I20" s="21" t="n"/>
      <c r="J20" s="21" t="n"/>
      <c r="K20" s="28">
        <f>IF(COUNTA(A20:J20)=0,"",IF(A20="","ID budget manquant",IF(COUNTIF(BudgetIDs,A20)=0,"ID budget inconnu",IF(AND(ISNUMBER(G20),NOT(ISNUMBER(E20))),"Engagement à renseigner",IF(G20&gt;E20,"Paiement supérieur à engagement","À rapprocher")))))</f>
        <v/>
      </c>
    </row>
    <row r="21" ht="43" customHeight="1">
      <c r="A21" s="21" t="n"/>
      <c r="B21" s="21" t="n"/>
      <c r="C21" s="21" t="n"/>
      <c r="D21" s="21" t="n"/>
      <c r="E21" s="23" t="n"/>
      <c r="F21" s="19" t="n"/>
      <c r="G21" s="23" t="n"/>
      <c r="H21" s="19" t="n"/>
      <c r="I21" s="21" t="n"/>
      <c r="J21" s="21" t="n"/>
      <c r="K21" s="27">
        <f>IF(COUNTA(A21:J21)=0,"",IF(A21="","ID budget manquant",IF(COUNTIF(BudgetIDs,A21)=0,"ID budget inconnu",IF(AND(ISNUMBER(G21),NOT(ISNUMBER(E21))),"Engagement à renseigner",IF(G21&gt;E21,"Paiement supérieur à engagement","À rapprocher")))))</f>
        <v/>
      </c>
    </row>
    <row r="22" ht="43" customHeight="1">
      <c r="A22" s="21" t="n"/>
      <c r="B22" s="21" t="n"/>
      <c r="C22" s="21" t="n"/>
      <c r="D22" s="21" t="n"/>
      <c r="E22" s="23" t="n"/>
      <c r="F22" s="19" t="n"/>
      <c r="G22" s="23" t="n"/>
      <c r="H22" s="19" t="n"/>
      <c r="I22" s="21" t="n"/>
      <c r="J22" s="21" t="n"/>
      <c r="K22" s="28">
        <f>IF(COUNTA(A22:J22)=0,"",IF(A22="","ID budget manquant",IF(COUNTIF(BudgetIDs,A22)=0,"ID budget inconnu",IF(AND(ISNUMBER(G22),NOT(ISNUMBER(E22))),"Engagement à renseigner",IF(G22&gt;E22,"Paiement supérieur à engagement","À rapprocher")))))</f>
        <v/>
      </c>
    </row>
    <row r="23" ht="43" customHeight="1">
      <c r="A23" s="21" t="n"/>
      <c r="B23" s="21" t="n"/>
      <c r="C23" s="21" t="n"/>
      <c r="D23" s="21" t="n"/>
      <c r="E23" s="23" t="n"/>
      <c r="F23" s="19" t="n"/>
      <c r="G23" s="23" t="n"/>
      <c r="H23" s="19" t="n"/>
      <c r="I23" s="21" t="n"/>
      <c r="J23" s="21" t="n"/>
      <c r="K23" s="27">
        <f>IF(COUNTA(A23:J23)=0,"",IF(A23="","ID budget manquant",IF(COUNTIF(BudgetIDs,A23)=0,"ID budget inconnu",IF(AND(ISNUMBER(G23),NOT(ISNUMBER(E23))),"Engagement à renseigner",IF(G23&gt;E23,"Paiement supérieur à engagement","À rapprocher")))))</f>
        <v/>
      </c>
    </row>
    <row r="24" ht="43" customHeight="1">
      <c r="A24" s="21" t="n"/>
      <c r="B24" s="21" t="n"/>
      <c r="C24" s="21" t="n"/>
      <c r="D24" s="21" t="n"/>
      <c r="E24" s="23" t="n"/>
      <c r="F24" s="19" t="n"/>
      <c r="G24" s="23" t="n"/>
      <c r="H24" s="19" t="n"/>
      <c r="I24" s="21" t="n"/>
      <c r="J24" s="21" t="n"/>
      <c r="K24" s="28">
        <f>IF(COUNTA(A24:J24)=0,"",IF(A24="","ID budget manquant",IF(COUNTIF(BudgetIDs,A24)=0,"ID budget inconnu",IF(AND(ISNUMBER(G24),NOT(ISNUMBER(E24))),"Engagement à renseigner",IF(G24&gt;E24,"Paiement supérieur à engagement","À rapprocher")))))</f>
        <v/>
      </c>
    </row>
    <row r="25" ht="43" customHeight="1">
      <c r="A25" s="21" t="n"/>
      <c r="B25" s="21" t="n"/>
      <c r="C25" s="21" t="n"/>
      <c r="D25" s="21" t="n"/>
      <c r="E25" s="23" t="n"/>
      <c r="F25" s="19" t="n"/>
      <c r="G25" s="23" t="n"/>
      <c r="H25" s="19" t="n"/>
      <c r="I25" s="21" t="n"/>
      <c r="J25" s="21" t="n"/>
      <c r="K25" s="27">
        <f>IF(COUNTA(A25:J25)=0,"",IF(A25="","ID budget manquant",IF(COUNTIF(BudgetIDs,A25)=0,"ID budget inconnu",IF(AND(ISNUMBER(G25),NOT(ISNUMBER(E25))),"Engagement à renseigner",IF(G25&gt;E25,"Paiement supérieur à engagement","À rapprocher")))))</f>
        <v/>
      </c>
    </row>
    <row r="26" ht="43" customHeight="1">
      <c r="A26" s="21" t="n"/>
      <c r="B26" s="21" t="n"/>
      <c r="C26" s="21" t="n"/>
      <c r="D26" s="21" t="n"/>
      <c r="E26" s="23" t="n"/>
      <c r="F26" s="19" t="n"/>
      <c r="G26" s="23" t="n"/>
      <c r="H26" s="19" t="n"/>
      <c r="I26" s="21" t="n"/>
      <c r="J26" s="21" t="n"/>
      <c r="K26" s="28">
        <f>IF(COUNTA(A26:J26)=0,"",IF(A26="","ID budget manquant",IF(COUNTIF(BudgetIDs,A26)=0,"ID budget inconnu",IF(AND(ISNUMBER(G26),NOT(ISNUMBER(E26))),"Engagement à renseigner",IF(G26&gt;E26,"Paiement supérieur à engagement","À rapprocher")))))</f>
        <v/>
      </c>
    </row>
    <row r="27" ht="43" customHeight="1">
      <c r="A27" s="21" t="n"/>
      <c r="B27" s="21" t="n"/>
      <c r="C27" s="21" t="n"/>
      <c r="D27" s="21" t="n"/>
      <c r="E27" s="23" t="n"/>
      <c r="F27" s="19" t="n"/>
      <c r="G27" s="23" t="n"/>
      <c r="H27" s="19" t="n"/>
      <c r="I27" s="21" t="n"/>
      <c r="J27" s="21" t="n"/>
      <c r="K27" s="27">
        <f>IF(COUNTA(A27:J27)=0,"",IF(A27="","ID budget manquant",IF(COUNTIF(BudgetIDs,A27)=0,"ID budget inconnu",IF(AND(ISNUMBER(G27),NOT(ISNUMBER(E27))),"Engagement à renseigner",IF(G27&gt;E27,"Paiement supérieur à engagement","À rapprocher")))))</f>
        <v/>
      </c>
    </row>
    <row r="28" ht="43" customHeight="1">
      <c r="A28" s="21" t="n"/>
      <c r="B28" s="21" t="n"/>
      <c r="C28" s="21" t="n"/>
      <c r="D28" s="21" t="n"/>
      <c r="E28" s="23" t="n"/>
      <c r="F28" s="19" t="n"/>
      <c r="G28" s="23" t="n"/>
      <c r="H28" s="19" t="n"/>
      <c r="I28" s="21" t="n"/>
      <c r="J28" s="21" t="n"/>
      <c r="K28" s="28">
        <f>IF(COUNTA(A28:J28)=0,"",IF(A28="","ID budget manquant",IF(COUNTIF(BudgetIDs,A28)=0,"ID budget inconnu",IF(AND(ISNUMBER(G28),NOT(ISNUMBER(E28))),"Engagement à renseigner",IF(G28&gt;E28,"Paiement supérieur à engagement","À rapprocher")))))</f>
        <v/>
      </c>
    </row>
    <row r="29" ht="43" customHeight="1">
      <c r="A29" s="21" t="n"/>
      <c r="B29" s="21" t="n"/>
      <c r="C29" s="21" t="n"/>
      <c r="D29" s="21" t="n"/>
      <c r="E29" s="23" t="n"/>
      <c r="F29" s="19" t="n"/>
      <c r="G29" s="23" t="n"/>
      <c r="H29" s="19" t="n"/>
      <c r="I29" s="21" t="n"/>
      <c r="J29" s="21" t="n"/>
      <c r="K29" s="27">
        <f>IF(COUNTA(A29:J29)=0,"",IF(A29="","ID budget manquant",IF(COUNTIF(BudgetIDs,A29)=0,"ID budget inconnu",IF(AND(ISNUMBER(G29),NOT(ISNUMBER(E29))),"Engagement à renseigner",IF(G29&gt;E29,"Paiement supérieur à engagement","À rapprocher")))))</f>
        <v/>
      </c>
    </row>
    <row r="30" ht="43" customHeight="1">
      <c r="A30" s="21" t="n"/>
      <c r="B30" s="21" t="n"/>
      <c r="C30" s="21" t="n"/>
      <c r="D30" s="21" t="n"/>
      <c r="E30" s="23" t="n"/>
      <c r="F30" s="19" t="n"/>
      <c r="G30" s="23" t="n"/>
      <c r="H30" s="19" t="n"/>
      <c r="I30" s="21" t="n"/>
      <c r="J30" s="21" t="n"/>
      <c r="K30" s="28">
        <f>IF(COUNTA(A30:J30)=0,"",IF(A30="","ID budget manquant",IF(COUNTIF(BudgetIDs,A30)=0,"ID budget inconnu",IF(AND(ISNUMBER(G30),NOT(ISNUMBER(E30))),"Engagement à renseigner",IF(G30&gt;E30,"Paiement supérieur à engagement","À rapprocher")))))</f>
        <v/>
      </c>
    </row>
    <row r="31" ht="43" customHeight="1">
      <c r="A31" s="21" t="n"/>
      <c r="B31" s="21" t="n"/>
      <c r="C31" s="21" t="n"/>
      <c r="D31" s="21" t="n"/>
      <c r="E31" s="23" t="n"/>
      <c r="F31" s="19" t="n"/>
      <c r="G31" s="23" t="n"/>
      <c r="H31" s="19" t="n"/>
      <c r="I31" s="21" t="n"/>
      <c r="J31" s="21" t="n"/>
      <c r="K31" s="27">
        <f>IF(COUNTA(A31:J31)=0,"",IF(A31="","ID budget manquant",IF(COUNTIF(BudgetIDs,A31)=0,"ID budget inconnu",IF(AND(ISNUMBER(G31),NOT(ISNUMBER(E31))),"Engagement à renseigner",IF(G31&gt;E31,"Paiement supérieur à engagement","À rapprocher")))))</f>
        <v/>
      </c>
    </row>
    <row r="32" ht="43" customHeight="1">
      <c r="A32" s="21" t="n"/>
      <c r="B32" s="21" t="n"/>
      <c r="C32" s="21" t="n"/>
      <c r="D32" s="21" t="n"/>
      <c r="E32" s="23" t="n"/>
      <c r="F32" s="19" t="n"/>
      <c r="G32" s="23" t="n"/>
      <c r="H32" s="19" t="n"/>
      <c r="I32" s="21" t="n"/>
      <c r="J32" s="21" t="n"/>
      <c r="K32" s="28">
        <f>IF(COUNTA(A32:J32)=0,"",IF(A32="","ID budget manquant",IF(COUNTIF(BudgetIDs,A32)=0,"ID budget inconnu",IF(AND(ISNUMBER(G32),NOT(ISNUMBER(E32))),"Engagement à renseigner",IF(G32&gt;E32,"Paiement supérieur à engagement","À rapprocher")))))</f>
        <v/>
      </c>
    </row>
    <row r="33" ht="43" customHeight="1">
      <c r="A33" s="21" t="n"/>
      <c r="B33" s="21" t="n"/>
      <c r="C33" s="21" t="n"/>
      <c r="D33" s="21" t="n"/>
      <c r="E33" s="23" t="n"/>
      <c r="F33" s="19" t="n"/>
      <c r="G33" s="23" t="n"/>
      <c r="H33" s="19" t="n"/>
      <c r="I33" s="21" t="n"/>
      <c r="J33" s="21" t="n"/>
      <c r="K33" s="27">
        <f>IF(COUNTA(A33:J33)=0,"",IF(A33="","ID budget manquant",IF(COUNTIF(BudgetIDs,A33)=0,"ID budget inconnu",IF(AND(ISNUMBER(G33),NOT(ISNUMBER(E33))),"Engagement à renseigner",IF(G33&gt;E33,"Paiement supérieur à engagement","À rapprocher")))))</f>
        <v/>
      </c>
    </row>
    <row r="34" ht="43" customHeight="1">
      <c r="A34" s="21" t="n"/>
      <c r="B34" s="21" t="n"/>
      <c r="C34" s="21" t="n"/>
      <c r="D34" s="21" t="n"/>
      <c r="E34" s="23" t="n"/>
      <c r="F34" s="19" t="n"/>
      <c r="G34" s="23" t="n"/>
      <c r="H34" s="19" t="n"/>
      <c r="I34" s="21" t="n"/>
      <c r="J34" s="21" t="n"/>
      <c r="K34" s="28">
        <f>IF(COUNTA(A34:J34)=0,"",IF(A34="","ID budget manquant",IF(COUNTIF(BudgetIDs,A34)=0,"ID budget inconnu",IF(AND(ISNUMBER(G34),NOT(ISNUMBER(E34))),"Engagement à renseigner",IF(G34&gt;E34,"Paiement supérieur à engagement","À rapprocher")))))</f>
        <v/>
      </c>
    </row>
    <row r="35" ht="43" customHeight="1">
      <c r="A35" s="21" t="n"/>
      <c r="B35" s="21" t="n"/>
      <c r="C35" s="21" t="n"/>
      <c r="D35" s="21" t="n"/>
      <c r="E35" s="23" t="n"/>
      <c r="F35" s="19" t="n"/>
      <c r="G35" s="23" t="n"/>
      <c r="H35" s="19" t="n"/>
      <c r="I35" s="21" t="n"/>
      <c r="J35" s="21" t="n"/>
      <c r="K35" s="27">
        <f>IF(COUNTA(A35:J35)=0,"",IF(A35="","ID budget manquant",IF(COUNTIF(BudgetIDs,A35)=0,"ID budget inconnu",IF(AND(ISNUMBER(G35),NOT(ISNUMBER(E35))),"Engagement à renseigner",IF(G35&gt;E35,"Paiement supérieur à engagement","À rapprocher")))))</f>
        <v/>
      </c>
    </row>
    <row r="36" ht="43" customHeight="1">
      <c r="A36" s="21" t="n"/>
      <c r="B36" s="21" t="n"/>
      <c r="C36" s="21" t="n"/>
      <c r="D36" s="21" t="n"/>
      <c r="E36" s="23" t="n"/>
      <c r="F36" s="19" t="n"/>
      <c r="G36" s="23" t="n"/>
      <c r="H36" s="19" t="n"/>
      <c r="I36" s="21" t="n"/>
      <c r="J36" s="21" t="n"/>
      <c r="K36" s="28">
        <f>IF(COUNTA(A36:J36)=0,"",IF(A36="","ID budget manquant",IF(COUNTIF(BudgetIDs,A36)=0,"ID budget inconnu",IF(AND(ISNUMBER(G36),NOT(ISNUMBER(E36))),"Engagement à renseigner",IF(G36&gt;E36,"Paiement supérieur à engagement","À rapprocher")))))</f>
        <v/>
      </c>
    </row>
    <row r="37" ht="43" customHeight="1">
      <c r="A37" s="21" t="n"/>
      <c r="B37" s="21" t="n"/>
      <c r="C37" s="21" t="n"/>
      <c r="D37" s="21" t="n"/>
      <c r="E37" s="23" t="n"/>
      <c r="F37" s="19" t="n"/>
      <c r="G37" s="23" t="n"/>
      <c r="H37" s="19" t="n"/>
      <c r="I37" s="21" t="n"/>
      <c r="J37" s="21" t="n"/>
      <c r="K37" s="27">
        <f>IF(COUNTA(A37:J37)=0,"",IF(A37="","ID budget manquant",IF(COUNTIF(BudgetIDs,A37)=0,"ID budget inconnu",IF(AND(ISNUMBER(G37),NOT(ISNUMBER(E37))),"Engagement à renseigner",IF(G37&gt;E37,"Paiement supérieur à engagement","À rapprocher")))))</f>
        <v/>
      </c>
    </row>
    <row r="38" ht="43" customHeight="1">
      <c r="A38" s="21" t="n"/>
      <c r="B38" s="21" t="n"/>
      <c r="C38" s="21" t="n"/>
      <c r="D38" s="21" t="n"/>
      <c r="E38" s="23" t="n"/>
      <c r="F38" s="19" t="n"/>
      <c r="G38" s="23" t="n"/>
      <c r="H38" s="19" t="n"/>
      <c r="I38" s="21" t="n"/>
      <c r="J38" s="21" t="n"/>
      <c r="K38" s="28">
        <f>IF(COUNTA(A38:J38)=0,"",IF(A38="","ID budget manquant",IF(COUNTIF(BudgetIDs,A38)=0,"ID budget inconnu",IF(AND(ISNUMBER(G38),NOT(ISNUMBER(E38))),"Engagement à renseigner",IF(G38&gt;E38,"Paiement supérieur à engagement","À rapprocher")))))</f>
        <v/>
      </c>
    </row>
    <row r="39" ht="43" customHeight="1">
      <c r="A39" s="21" t="n"/>
      <c r="B39" s="21" t="n"/>
      <c r="C39" s="21" t="n"/>
      <c r="D39" s="21" t="n"/>
      <c r="E39" s="23" t="n"/>
      <c r="F39" s="19" t="n"/>
      <c r="G39" s="23" t="n"/>
      <c r="H39" s="19" t="n"/>
      <c r="I39" s="21" t="n"/>
      <c r="J39" s="21" t="n"/>
      <c r="K39" s="27">
        <f>IF(COUNTA(A39:J39)=0,"",IF(A39="","ID budget manquant",IF(COUNTIF(BudgetIDs,A39)=0,"ID budget inconnu",IF(AND(ISNUMBER(G39),NOT(ISNUMBER(E39))),"Engagement à renseigner",IF(G39&gt;E39,"Paiement supérieur à engagement","À rapprocher")))))</f>
        <v/>
      </c>
    </row>
    <row r="40" ht="43" customHeight="1">
      <c r="A40" s="21" t="n"/>
      <c r="B40" s="21" t="n"/>
      <c r="C40" s="21" t="n"/>
      <c r="D40" s="21" t="n"/>
      <c r="E40" s="23" t="n"/>
      <c r="F40" s="19" t="n"/>
      <c r="G40" s="23" t="n"/>
      <c r="H40" s="19" t="n"/>
      <c r="I40" s="21" t="n"/>
      <c r="J40" s="21" t="n"/>
      <c r="K40" s="28">
        <f>IF(COUNTA(A40:J40)=0,"",IF(A40="","ID budget manquant",IF(COUNTIF(BudgetIDs,A40)=0,"ID budget inconnu",IF(AND(ISNUMBER(G40),NOT(ISNUMBER(E40))),"Engagement à renseigner",IF(G40&gt;E40,"Paiement supérieur à engagement","À rapprocher")))))</f>
        <v/>
      </c>
    </row>
    <row r="41" ht="43" customHeight="1">
      <c r="A41" s="21" t="n"/>
      <c r="B41" s="21" t="n"/>
      <c r="C41" s="21" t="n"/>
      <c r="D41" s="21" t="n"/>
      <c r="E41" s="23" t="n"/>
      <c r="F41" s="19" t="n"/>
      <c r="G41" s="23" t="n"/>
      <c r="H41" s="19" t="n"/>
      <c r="I41" s="21" t="n"/>
      <c r="J41" s="21" t="n"/>
      <c r="K41" s="27">
        <f>IF(COUNTA(A41:J41)=0,"",IF(A41="","ID budget manquant",IF(COUNTIF(BudgetIDs,A41)=0,"ID budget inconnu",IF(AND(ISNUMBER(G41),NOT(ISNUMBER(E41))),"Engagement à renseigner",IF(G41&gt;E41,"Paiement supérieur à engagement","À rapprocher")))))</f>
        <v/>
      </c>
    </row>
    <row r="42" ht="43" customHeight="1">
      <c r="A42" s="21" t="n"/>
      <c r="B42" s="21" t="n"/>
      <c r="C42" s="21" t="n"/>
      <c r="D42" s="21" t="n"/>
      <c r="E42" s="23" t="n"/>
      <c r="F42" s="19" t="n"/>
      <c r="G42" s="23" t="n"/>
      <c r="H42" s="19" t="n"/>
      <c r="I42" s="21" t="n"/>
      <c r="J42" s="21" t="n"/>
      <c r="K42" s="28">
        <f>IF(COUNTA(A42:J42)=0,"",IF(A42="","ID budget manquant",IF(COUNTIF(BudgetIDs,A42)=0,"ID budget inconnu",IF(AND(ISNUMBER(G42),NOT(ISNUMBER(E42))),"Engagement à renseigner",IF(G42&gt;E42,"Paiement supérieur à engagement","À rapprocher")))))</f>
        <v/>
      </c>
    </row>
    <row r="43" ht="43" customHeight="1">
      <c r="A43" s="21" t="n"/>
      <c r="B43" s="21" t="n"/>
      <c r="C43" s="21" t="n"/>
      <c r="D43" s="21" t="n"/>
      <c r="E43" s="23" t="n"/>
      <c r="F43" s="19" t="n"/>
      <c r="G43" s="23" t="n"/>
      <c r="H43" s="19" t="n"/>
      <c r="I43" s="21" t="n"/>
      <c r="J43" s="21" t="n"/>
      <c r="K43" s="27">
        <f>IF(COUNTA(A43:J43)=0,"",IF(A43="","ID budget manquant",IF(COUNTIF(BudgetIDs,A43)=0,"ID budget inconnu",IF(AND(ISNUMBER(G43),NOT(ISNUMBER(E43))),"Engagement à renseigner",IF(G43&gt;E43,"Paiement supérieur à engagement","À rapprocher")))))</f>
        <v/>
      </c>
    </row>
    <row r="44" ht="43" customHeight="1">
      <c r="A44" s="21" t="n"/>
      <c r="B44" s="21" t="n"/>
      <c r="C44" s="21" t="n"/>
      <c r="D44" s="21" t="n"/>
      <c r="E44" s="23" t="n"/>
      <c r="F44" s="19" t="n"/>
      <c r="G44" s="23" t="n"/>
      <c r="H44" s="19" t="n"/>
      <c r="I44" s="21" t="n"/>
      <c r="J44" s="21" t="n"/>
      <c r="K44" s="28">
        <f>IF(COUNTA(A44:J44)=0,"",IF(A44="","ID budget manquant",IF(COUNTIF(BudgetIDs,A44)=0,"ID budget inconnu",IF(AND(ISNUMBER(G44),NOT(ISNUMBER(E44))),"Engagement à renseigner",IF(G44&gt;E44,"Paiement supérieur à engagement","À rapprocher")))))</f>
        <v/>
      </c>
    </row>
    <row r="45" ht="43" customHeight="1">
      <c r="A45" s="21" t="n"/>
      <c r="B45" s="21" t="n"/>
      <c r="C45" s="21" t="n"/>
      <c r="D45" s="21" t="n"/>
      <c r="E45" s="23" t="n"/>
      <c r="F45" s="19" t="n"/>
      <c r="G45" s="23" t="n"/>
      <c r="H45" s="19" t="n"/>
      <c r="I45" s="21" t="n"/>
      <c r="J45" s="21" t="n"/>
      <c r="K45" s="27">
        <f>IF(COUNTA(A45:J45)=0,"",IF(A45="","ID budget manquant",IF(COUNTIF(BudgetIDs,A45)=0,"ID budget inconnu",IF(AND(ISNUMBER(G45),NOT(ISNUMBER(E45))),"Engagement à renseigner",IF(G45&gt;E45,"Paiement supérieur à engagement","À rapprocher")))))</f>
        <v/>
      </c>
    </row>
    <row r="46" ht="43" customHeight="1">
      <c r="A46" s="21" t="n"/>
      <c r="B46" s="21" t="n"/>
      <c r="C46" s="21" t="n"/>
      <c r="D46" s="21" t="n"/>
      <c r="E46" s="23" t="n"/>
      <c r="F46" s="19" t="n"/>
      <c r="G46" s="23" t="n"/>
      <c r="H46" s="19" t="n"/>
      <c r="I46" s="21" t="n"/>
      <c r="J46" s="21" t="n"/>
      <c r="K46" s="28">
        <f>IF(COUNTA(A46:J46)=0,"",IF(A46="","ID budget manquant",IF(COUNTIF(BudgetIDs,A46)=0,"ID budget inconnu",IF(AND(ISNUMBER(G46),NOT(ISNUMBER(E46))),"Engagement à renseigner",IF(G46&gt;E46,"Paiement supérieur à engagement","À rapprocher")))))</f>
        <v/>
      </c>
    </row>
    <row r="47" ht="43" customHeight="1">
      <c r="A47" s="21" t="n"/>
      <c r="B47" s="21" t="n"/>
      <c r="C47" s="21" t="n"/>
      <c r="D47" s="21" t="n"/>
      <c r="E47" s="23" t="n"/>
      <c r="F47" s="19" t="n"/>
      <c r="G47" s="23" t="n"/>
      <c r="H47" s="19" t="n"/>
      <c r="I47" s="21" t="n"/>
      <c r="J47" s="21" t="n"/>
      <c r="K47" s="27">
        <f>IF(COUNTA(A47:J47)=0,"",IF(A47="","ID budget manquant",IF(COUNTIF(BudgetIDs,A47)=0,"ID budget inconnu",IF(AND(ISNUMBER(G47),NOT(ISNUMBER(E47))),"Engagement à renseigner",IF(G47&gt;E47,"Paiement supérieur à engagement","À rapprocher")))))</f>
        <v/>
      </c>
    </row>
  </sheetData>
  <autoFilter ref="A7:K47"/>
  <mergeCells count="2">
    <mergeCell ref="A4:K5"/>
    <mergeCell ref="A1:K2"/>
  </mergeCells>
  <dataValidations count="4">
    <dataValidation sqref="A8:A47" showDropDown="0" showInputMessage="0" showErrorMessage="1" allowBlank="1" errorTitle="Valeur à vérifier" error="Utilisez une valeur autorisée." type="list" errorStyle="stop">
      <formula1>BudgetIDs</formula1>
    </dataValidation>
    <dataValidation sqref="I8:I47" showDropDown="0" showInputMessage="0" showErrorMessage="1" allowBlank="1" errorTitle="Valeur à vérifier" error="Utilisez une valeur autorisée." type="list" errorStyle="stop">
      <formula1>"À valider,Engagé,Facturé,Payé,Annulé"</formula1>
    </dataValidation>
    <dataValidation sqref="E8:E47" showDropDown="0" showInputMessage="0" showErrorMessage="1" allowBlank="1" errorTitle="Valeur à vérifier" error="Utilisez une valeur autorisée." type="decimal" errorStyle="stop" operator="greaterThanOrEqual">
      <formula1>0</formula1>
    </dataValidation>
    <dataValidation sqref="G8:G47" showDropDown="0" showInputMessage="0" showErrorMessage="1" allowBlank="1" errorTitle="Valeur à vérifier" error="Utilisez une valeur autorisée." type="decimal" errorStyle="stop" operator="greaterThanOrEqual">
      <formula1>0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38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1" customWidth="1" min="2" max="2"/>
    <col width="57" customWidth="1" min="3" max="3"/>
    <col width="26" customWidth="1" min="4" max="4"/>
    <col width="13" customWidth="1" min="5" max="5"/>
    <col width="13" customWidth="1" min="6" max="6"/>
    <col width="15" customWidth="1" min="7" max="7"/>
    <col width="18" customWidth="1" min="8" max="8"/>
    <col width="18" customWidth="1" min="9" max="9"/>
    <col width="12" customWidth="1" min="10" max="10"/>
    <col width="21" customWidth="1" min="11" max="11"/>
    <col width="17" customWidth="1" min="12" max="12"/>
    <col width="42" customWidth="1" min="13" max="13"/>
    <col width="23" customWidth="1" min="14" max="14"/>
    <col width="32" customWidth="1" min="15" max="15"/>
  </cols>
  <sheetData>
    <row r="1" ht="24" customHeight="1">
      <c r="A1" s="1" t="inlineStr">
        <is>
          <t>05 / PLAN D’ACTION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/>
    <row r="4" ht="22" customHeight="1">
      <c r="A4" s="3" t="inlineStr">
        <is>
          <t>31 tâches · dates relatives à la référence non confirmée · vérifier aussi les prérequis transverses dans Décisions.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</t>
        </is>
      </c>
      <c r="B7" s="5" t="inlineStr">
        <is>
          <t>Phase</t>
        </is>
      </c>
      <c r="C7" s="5" t="inlineStr">
        <is>
          <t>Action</t>
        </is>
      </c>
      <c r="D7" s="5" t="inlineStr">
        <is>
          <t>Pilote proposé</t>
        </is>
      </c>
      <c r="E7" s="5" t="inlineStr">
        <is>
          <t>Début J±</t>
        </is>
      </c>
      <c r="F7" s="5" t="inlineStr">
        <is>
          <t>Fin J±</t>
        </is>
      </c>
      <c r="G7" s="5" t="inlineStr">
        <is>
          <t>Prédécesseur</t>
        </is>
      </c>
      <c r="H7" s="5" t="inlineStr">
        <is>
          <t>Début calculé</t>
        </is>
      </c>
      <c r="I7" s="5" t="inlineStr">
        <is>
          <t>Fin calculée</t>
        </is>
      </c>
      <c r="J7" s="5" t="inlineStr">
        <is>
          <t>Jours</t>
        </is>
      </c>
      <c r="K7" s="5" t="inlineStr">
        <is>
          <t>Statut</t>
        </is>
      </c>
      <c r="L7" s="5" t="inlineStr">
        <is>
          <t>Avancement</t>
        </is>
      </c>
      <c r="M7" s="5" t="inlineStr">
        <is>
          <t>Livrable</t>
        </is>
      </c>
      <c r="N7" s="5" t="inlineStr">
        <is>
          <t>Alerte échéance</t>
        </is>
      </c>
      <c r="O7" s="5" t="inlineStr">
        <is>
          <t>Contrôle lien</t>
        </is>
      </c>
    </row>
    <row r="8" ht="43" customHeight="1">
      <c r="A8" s="18" t="inlineStr">
        <is>
          <t>T01</t>
        </is>
      </c>
      <c r="B8" s="18" t="inlineStr">
        <is>
          <t>Cadrage</t>
        </is>
      </c>
      <c r="C8" s="18" t="inlineStr">
        <is>
          <t>Valider objectifs et publics</t>
        </is>
      </c>
      <c r="D8" s="21" t="inlineStr">
        <is>
          <t>Responsable projet</t>
        </is>
      </c>
      <c r="E8" s="21" t="n">
        <v>-56</v>
      </c>
      <c r="F8" s="21" t="n">
        <v>-53</v>
      </c>
      <c r="G8" s="21" t="inlineStr"/>
      <c r="H8" s="31">
        <f>'Paramètres'!$B$8+E8</f>
        <v/>
      </c>
      <c r="I8" s="31">
        <f>'Paramètres'!$B$8+F8</f>
        <v/>
      </c>
      <c r="J8" s="28">
        <f>I8-H8+1</f>
        <v/>
      </c>
      <c r="K8" s="21" t="inlineStr">
        <is>
          <t>À faire</t>
        </is>
      </c>
      <c r="L8" s="22" t="n">
        <v>0</v>
      </c>
      <c r="M8" s="18" t="inlineStr">
        <is>
          <t>Dossier de cadrage</t>
        </is>
      </c>
      <c r="N8" s="28">
        <f>IF(K8="Terminé","Terminé",IF(K8="Bloqué","Bloqué",IF(I8&lt;'Paramètres'!$B$9,"En retard","Planifié")))</f>
        <v/>
      </c>
      <c r="O8" s="28">
        <f>IF(G8="","Sans dépendance",IFERROR(IF(H8&gt;=INDEX($I$8:$I$38,MATCH(G8,$A$8:$A$38,0)),"Cohérent","Chevauchement à arbitrer"),"ID inconnu"))</f>
        <v/>
      </c>
    </row>
    <row r="9" ht="43" customHeight="1">
      <c r="A9" s="20" t="inlineStr">
        <is>
          <t>T02</t>
        </is>
      </c>
      <c r="B9" s="20" t="inlineStr">
        <is>
          <t>Cadrage</t>
        </is>
      </c>
      <c r="C9" s="20" t="inlineStr">
        <is>
          <t>Valider portage et plafond financier</t>
        </is>
      </c>
      <c r="D9" s="21" t="inlineStr">
        <is>
          <t>Responsable projet</t>
        </is>
      </c>
      <c r="E9" s="21" t="n">
        <v>-53</v>
      </c>
      <c r="F9" s="21" t="n">
        <v>-49</v>
      </c>
      <c r="G9" s="21" t="inlineStr">
        <is>
          <t>T01</t>
        </is>
      </c>
      <c r="H9" s="32">
        <f>'Paramètres'!$B$8+E9</f>
        <v/>
      </c>
      <c r="I9" s="32">
        <f>'Paramètres'!$B$8+F9</f>
        <v/>
      </c>
      <c r="J9" s="27">
        <f>I9-H9+1</f>
        <v/>
      </c>
      <c r="K9" s="21" t="inlineStr">
        <is>
          <t>À faire</t>
        </is>
      </c>
      <c r="L9" s="22" t="n">
        <v>0</v>
      </c>
      <c r="M9" s="20" t="inlineStr">
        <is>
          <t>Décision écrite</t>
        </is>
      </c>
      <c r="N9" s="27">
        <f>IF(K9="Terminé","Terminé",IF(K9="Bloqué","Bloqué",IF(I9&lt;'Paramètres'!$B$9,"En retard","Planifié")))</f>
        <v/>
      </c>
      <c r="O9" s="27">
        <f>IF(G9="","Sans dépendance",IFERROR(IF(H9&gt;=INDEX($I$8:$I$38,MATCH(G9,$A$8:$A$38,0)),"Cohérent","Chevauchement à arbitrer"),"ID inconnu"))</f>
        <v/>
      </c>
    </row>
    <row r="10" ht="43" customHeight="1">
      <c r="A10" s="18" t="inlineStr">
        <is>
          <t>T03</t>
        </is>
      </c>
      <c r="B10" s="18" t="inlineStr">
        <is>
          <t>Lieu</t>
        </is>
      </c>
      <c r="C10" s="18" t="inlineStr">
        <is>
          <t>Définir critères de choix du lieu</t>
        </is>
      </c>
      <c r="D10" s="21" t="inlineStr">
        <is>
          <t>Logistique</t>
        </is>
      </c>
      <c r="E10" s="21" t="n">
        <v>-49</v>
      </c>
      <c r="F10" s="21" t="n">
        <v>-47</v>
      </c>
      <c r="G10" s="21" t="inlineStr">
        <is>
          <t>T02</t>
        </is>
      </c>
      <c r="H10" s="31">
        <f>'Paramètres'!$B$8+E10</f>
        <v/>
      </c>
      <c r="I10" s="31">
        <f>'Paramètres'!$B$8+F10</f>
        <v/>
      </c>
      <c r="J10" s="28">
        <f>I10-H10+1</f>
        <v/>
      </c>
      <c r="K10" s="21" t="inlineStr">
        <is>
          <t>À faire</t>
        </is>
      </c>
      <c r="L10" s="22" t="n">
        <v>0</v>
      </c>
      <c r="M10" s="18" t="inlineStr">
        <is>
          <t>Grille de critères</t>
        </is>
      </c>
      <c r="N10" s="28">
        <f>IF(K10="Terminé","Terminé",IF(K10="Bloqué","Bloqué",IF(I10&lt;'Paramètres'!$B$9,"En retard","Planifié")))</f>
        <v/>
      </c>
      <c r="O10" s="28">
        <f>IF(G10="","Sans dépendance",IFERROR(IF(H10&gt;=INDEX($I$8:$I$38,MATCH(G10,$A$8:$A$38,0)),"Cohérent","Chevauchement à arbitrer"),"ID inconnu"))</f>
        <v/>
      </c>
    </row>
    <row r="11" ht="43" customHeight="1">
      <c r="A11" s="20" t="inlineStr">
        <is>
          <t>T04</t>
        </is>
      </c>
      <c r="B11" s="20" t="inlineStr">
        <is>
          <t>Lieu</t>
        </is>
      </c>
      <c r="C11" s="20" t="inlineStr">
        <is>
          <t>Recueillir deux propositions de lieux</t>
        </is>
      </c>
      <c r="D11" s="21" t="inlineStr">
        <is>
          <t>Logistique</t>
        </is>
      </c>
      <c r="E11" s="21" t="n">
        <v>-47</v>
      </c>
      <c r="F11" s="21" t="n">
        <v>-43</v>
      </c>
      <c r="G11" s="21" t="inlineStr">
        <is>
          <t>T03</t>
        </is>
      </c>
      <c r="H11" s="32">
        <f>'Paramètres'!$B$8+E11</f>
        <v/>
      </c>
      <c r="I11" s="32">
        <f>'Paramètres'!$B$8+F11</f>
        <v/>
      </c>
      <c r="J11" s="27">
        <f>I11-H11+1</f>
        <v/>
      </c>
      <c r="K11" s="21" t="inlineStr">
        <is>
          <t>À faire</t>
        </is>
      </c>
      <c r="L11" s="22" t="n">
        <v>0</v>
      </c>
      <c r="M11" s="20" t="inlineStr">
        <is>
          <t>Devis comparables</t>
        </is>
      </c>
      <c r="N11" s="27">
        <f>IF(K11="Terminé","Terminé",IF(K11="Bloqué","Bloqué",IF(I11&lt;'Paramètres'!$B$9,"En retard","Planifié")))</f>
        <v/>
      </c>
      <c r="O11" s="27">
        <f>IF(G11="","Sans dépendance",IFERROR(IF(H11&gt;=INDEX($I$8:$I$38,MATCH(G11,$A$8:$A$38,0)),"Cohérent","Chevauchement à arbitrer"),"ID inconnu"))</f>
        <v/>
      </c>
    </row>
    <row r="12" ht="43" customHeight="1">
      <c r="A12" s="18" t="inlineStr">
        <is>
          <t>T05</t>
        </is>
      </c>
      <c r="B12" s="18" t="inlineStr">
        <is>
          <t>Lieu</t>
        </is>
      </c>
      <c r="C12" s="18" t="inlineStr">
        <is>
          <t>Vérifier accès, jauge et conditions</t>
        </is>
      </c>
      <c r="D12" s="21" t="inlineStr">
        <is>
          <t>Logistique</t>
        </is>
      </c>
      <c r="E12" s="21" t="n">
        <v>-43</v>
      </c>
      <c r="F12" s="21" t="n">
        <v>-42</v>
      </c>
      <c r="G12" s="21" t="inlineStr">
        <is>
          <t>T04</t>
        </is>
      </c>
      <c r="H12" s="31">
        <f>'Paramètres'!$B$8+E12</f>
        <v/>
      </c>
      <c r="I12" s="31">
        <f>'Paramètres'!$B$8+F12</f>
        <v/>
      </c>
      <c r="J12" s="28">
        <f>I12-H12+1</f>
        <v/>
      </c>
      <c r="K12" s="21" t="inlineStr">
        <is>
          <t>À faire</t>
        </is>
      </c>
      <c r="L12" s="22" t="n">
        <v>0</v>
      </c>
      <c r="M12" s="18" t="inlineStr">
        <is>
          <t>Grille lieu complétée</t>
        </is>
      </c>
      <c r="N12" s="28">
        <f>IF(K12="Terminé","Terminé",IF(K12="Bloqué","Bloqué",IF(I12&lt;'Paramètres'!$B$9,"En retard","Planifié")))</f>
        <v/>
      </c>
      <c r="O12" s="28">
        <f>IF(G12="","Sans dépendance",IFERROR(IF(H12&gt;=INDEX($I$8:$I$38,MATCH(G12,$A$8:$A$38,0)),"Cohérent","Chevauchement à arbitrer"),"ID inconnu"))</f>
        <v/>
      </c>
    </row>
    <row r="13" ht="43" customHeight="1">
      <c r="A13" s="20" t="inlineStr">
        <is>
          <t>T06</t>
        </is>
      </c>
      <c r="B13" s="20" t="inlineStr">
        <is>
          <t>Lieu</t>
        </is>
      </c>
      <c r="C13" s="20" t="inlineStr">
        <is>
          <t>Confirmer le lieu par écrit</t>
        </is>
      </c>
      <c r="D13" s="21" t="inlineStr">
        <is>
          <t>Responsable projet</t>
        </is>
      </c>
      <c r="E13" s="21" t="n">
        <v>-42</v>
      </c>
      <c r="F13" s="21" t="n">
        <v>-41</v>
      </c>
      <c r="G13" s="21" t="inlineStr">
        <is>
          <t>T05</t>
        </is>
      </c>
      <c r="H13" s="32">
        <f>'Paramètres'!$B$8+E13</f>
        <v/>
      </c>
      <c r="I13" s="32">
        <f>'Paramètres'!$B$8+F13</f>
        <v/>
      </c>
      <c r="J13" s="27">
        <f>I13-H13+1</f>
        <v/>
      </c>
      <c r="K13" s="21" t="inlineStr">
        <is>
          <t>À faire</t>
        </is>
      </c>
      <c r="L13" s="22" t="n">
        <v>0</v>
      </c>
      <c r="M13" s="20" t="inlineStr">
        <is>
          <t>Accord du gestionnaire</t>
        </is>
      </c>
      <c r="N13" s="27">
        <f>IF(K13="Terminé","Terminé",IF(K13="Bloqué","Bloqué",IF(I13&lt;'Paramètres'!$B$9,"En retard","Planifié")))</f>
        <v/>
      </c>
      <c r="O13" s="27">
        <f>IF(G13="","Sans dépendance",IFERROR(IF(H13&gt;=INDEX($I$8:$I$38,MATCH(G13,$A$8:$A$38,0)),"Cohérent","Chevauchement à arbitrer"),"ID inconnu"))</f>
        <v/>
      </c>
    </row>
    <row r="14" ht="43" customHeight="1">
      <c r="A14" s="18" t="inlineStr">
        <is>
          <t>T07</t>
        </is>
      </c>
      <c r="B14" s="18" t="inlineStr">
        <is>
          <t>Programme</t>
        </is>
      </c>
      <c r="C14" s="18" t="inlineStr">
        <is>
          <t>Établir la liste des profils intervenants</t>
        </is>
      </c>
      <c r="D14" s="21" t="inlineStr">
        <is>
          <t>Éditorial</t>
        </is>
      </c>
      <c r="E14" s="21" t="n">
        <v>-49</v>
      </c>
      <c r="F14" s="21" t="n">
        <v>-44</v>
      </c>
      <c r="G14" s="21" t="inlineStr">
        <is>
          <t>T02</t>
        </is>
      </c>
      <c r="H14" s="31">
        <f>'Paramètres'!$B$8+E14</f>
        <v/>
      </c>
      <c r="I14" s="31">
        <f>'Paramètres'!$B$8+F14</f>
        <v/>
      </c>
      <c r="J14" s="28">
        <f>I14-H14+1</f>
        <v/>
      </c>
      <c r="K14" s="21" t="inlineStr">
        <is>
          <t>À faire</t>
        </is>
      </c>
      <c r="L14" s="22" t="n">
        <v>0</v>
      </c>
      <c r="M14" s="18" t="inlineStr">
        <is>
          <t>Critères et profils</t>
        </is>
      </c>
      <c r="N14" s="28">
        <f>IF(K14="Terminé","Terminé",IF(K14="Bloqué","Bloqué",IF(I14&lt;'Paramètres'!$B$9,"En retard","Planifié")))</f>
        <v/>
      </c>
      <c r="O14" s="28">
        <f>IF(G14="","Sans dépendance",IFERROR(IF(H14&gt;=INDEX($I$8:$I$38,MATCH(G14,$A$8:$A$38,0)),"Cohérent","Chevauchement à arbitrer"),"ID inconnu"))</f>
        <v/>
      </c>
    </row>
    <row r="15" ht="43" customHeight="1">
      <c r="A15" s="20" t="inlineStr">
        <is>
          <t>T08</t>
        </is>
      </c>
      <c r="B15" s="20" t="inlineStr">
        <is>
          <t>Programme</t>
        </is>
      </c>
      <c r="C15" s="20" t="inlineStr">
        <is>
          <t>Préparer les invitations intervenants</t>
        </is>
      </c>
      <c r="D15" s="21" t="inlineStr">
        <is>
          <t>Éditorial</t>
        </is>
      </c>
      <c r="E15" s="21" t="n">
        <v>-44</v>
      </c>
      <c r="F15" s="21" t="n">
        <v>-40</v>
      </c>
      <c r="G15" s="21" t="inlineStr">
        <is>
          <t>T07</t>
        </is>
      </c>
      <c r="H15" s="32">
        <f>'Paramètres'!$B$8+E15</f>
        <v/>
      </c>
      <c r="I15" s="32">
        <f>'Paramètres'!$B$8+F15</f>
        <v/>
      </c>
      <c r="J15" s="27">
        <f>I15-H15+1</f>
        <v/>
      </c>
      <c r="K15" s="21" t="inlineStr">
        <is>
          <t>À faire</t>
        </is>
      </c>
      <c r="L15" s="22" t="n">
        <v>0</v>
      </c>
      <c r="M15" s="20" t="inlineStr">
        <is>
          <t>Invitations prêtes</t>
        </is>
      </c>
      <c r="N15" s="27">
        <f>IF(K15="Terminé","Terminé",IF(K15="Bloqué","Bloqué",IF(I15&lt;'Paramètres'!$B$9,"En retard","Planifié")))</f>
        <v/>
      </c>
      <c r="O15" s="27">
        <f>IF(G15="","Sans dépendance",IFERROR(IF(H15&gt;=INDEX($I$8:$I$38,MATCH(G15,$A$8:$A$38,0)),"Cohérent","Chevauchement à arbitrer"),"ID inconnu"))</f>
        <v/>
      </c>
    </row>
    <row r="16" ht="43" customHeight="1">
      <c r="A16" s="18" t="inlineStr">
        <is>
          <t>T09</t>
        </is>
      </c>
      <c r="B16" s="18" t="inlineStr">
        <is>
          <t>Programme</t>
        </is>
      </c>
      <c r="C16" s="18" t="inlineStr">
        <is>
          <t>Obtenir accords et conditions</t>
        </is>
      </c>
      <c r="D16" s="21" t="inlineStr">
        <is>
          <t>Éditorial</t>
        </is>
      </c>
      <c r="E16" s="21" t="n">
        <v>-40</v>
      </c>
      <c r="F16" s="21" t="n">
        <v>-35</v>
      </c>
      <c r="G16" s="21" t="inlineStr">
        <is>
          <t>T08</t>
        </is>
      </c>
      <c r="H16" s="31">
        <f>'Paramètres'!$B$8+E16</f>
        <v/>
      </c>
      <c r="I16" s="31">
        <f>'Paramètres'!$B$8+F16</f>
        <v/>
      </c>
      <c r="J16" s="28">
        <f>I16-H16+1</f>
        <v/>
      </c>
      <c r="K16" s="21" t="inlineStr">
        <is>
          <t>À faire</t>
        </is>
      </c>
      <c r="L16" s="22" t="n">
        <v>0</v>
      </c>
      <c r="M16" s="18" t="inlineStr">
        <is>
          <t>Accords écrits</t>
        </is>
      </c>
      <c r="N16" s="28">
        <f>IF(K16="Terminé","Terminé",IF(K16="Bloqué","Bloqué",IF(I16&lt;'Paramètres'!$B$9,"En retard","Planifié")))</f>
        <v/>
      </c>
      <c r="O16" s="28">
        <f>IF(G16="","Sans dépendance",IFERROR(IF(H16&gt;=INDEX($I$8:$I$38,MATCH(G16,$A$8:$A$38,0)),"Cohérent","Chevauchement à arbitrer"),"ID inconnu"))</f>
        <v/>
      </c>
    </row>
    <row r="17" ht="43" customHeight="1">
      <c r="A17" s="20" t="inlineStr">
        <is>
          <t>T10</t>
        </is>
      </c>
      <c r="B17" s="20" t="inlineStr">
        <is>
          <t>Programme</t>
        </is>
      </c>
      <c r="C17" s="20" t="inlineStr">
        <is>
          <t>Valider fil conducteur et angle éditorial</t>
        </is>
      </c>
      <c r="D17" s="21" t="inlineStr">
        <is>
          <t>Éditorial</t>
        </is>
      </c>
      <c r="E17" s="21" t="n">
        <v>-35</v>
      </c>
      <c r="F17" s="21" t="n">
        <v>-31</v>
      </c>
      <c r="G17" s="21" t="inlineStr">
        <is>
          <t>T09</t>
        </is>
      </c>
      <c r="H17" s="32">
        <f>'Paramètres'!$B$8+E17</f>
        <v/>
      </c>
      <c r="I17" s="32">
        <f>'Paramètres'!$B$8+F17</f>
        <v/>
      </c>
      <c r="J17" s="27">
        <f>I17-H17+1</f>
        <v/>
      </c>
      <c r="K17" s="21" t="inlineStr">
        <is>
          <t>À faire</t>
        </is>
      </c>
      <c r="L17" s="22" t="n">
        <v>0</v>
      </c>
      <c r="M17" s="20" t="inlineStr">
        <is>
          <t>Programme validé</t>
        </is>
      </c>
      <c r="N17" s="27">
        <f>IF(K17="Terminé","Terminé",IF(K17="Bloqué","Bloqué",IF(I17&lt;'Paramètres'!$B$9,"En retard","Planifié")))</f>
        <v/>
      </c>
      <c r="O17" s="27">
        <f>IF(G17="","Sans dépendance",IFERROR(IF(H17&gt;=INDEX($I$8:$I$38,MATCH(G17,$A$8:$A$38,0)),"Cohérent","Chevauchement à arbitrer"),"ID inconnu"))</f>
        <v/>
      </c>
    </row>
    <row r="18" ht="43" customHeight="1">
      <c r="A18" s="18" t="inlineStr">
        <is>
          <t>T11</t>
        </is>
      </c>
      <c r="B18" s="18" t="inlineStr">
        <is>
          <t>Technique</t>
        </is>
      </c>
      <c r="C18" s="18" t="inlineStr">
        <is>
          <t>Comparer les besoins et le devis technique</t>
        </is>
      </c>
      <c r="D18" s="21" t="inlineStr">
        <is>
          <t>Logistique / régie</t>
        </is>
      </c>
      <c r="E18" s="21" t="n">
        <v>-41</v>
      </c>
      <c r="F18" s="21" t="n">
        <v>-35</v>
      </c>
      <c r="G18" s="21" t="inlineStr">
        <is>
          <t>T06</t>
        </is>
      </c>
      <c r="H18" s="31">
        <f>'Paramètres'!$B$8+E18</f>
        <v/>
      </c>
      <c r="I18" s="31">
        <f>'Paramètres'!$B$8+F18</f>
        <v/>
      </c>
      <c r="J18" s="28">
        <f>I18-H18+1</f>
        <v/>
      </c>
      <c r="K18" s="21" t="inlineStr">
        <is>
          <t>À faire</t>
        </is>
      </c>
      <c r="L18" s="22" t="n">
        <v>0</v>
      </c>
      <c r="M18" s="18" t="inlineStr">
        <is>
          <t>Fiche technique</t>
        </is>
      </c>
      <c r="N18" s="28">
        <f>IF(K18="Terminé","Terminé",IF(K18="Bloqué","Bloqué",IF(I18&lt;'Paramètres'!$B$9,"En retard","Planifié")))</f>
        <v/>
      </c>
      <c r="O18" s="28">
        <f>IF(G18="","Sans dépendance",IFERROR(IF(H18&gt;=INDEX($I$8:$I$38,MATCH(G18,$A$8:$A$38,0)),"Cohérent","Chevauchement à arbitrer"),"ID inconnu"))</f>
        <v/>
      </c>
    </row>
    <row r="19" ht="43" customHeight="1">
      <c r="A19" s="20" t="inlineStr">
        <is>
          <t>T12</t>
        </is>
      </c>
      <c r="B19" s="20" t="inlineStr">
        <is>
          <t>Technique</t>
        </is>
      </c>
      <c r="C19" s="20" t="inlineStr">
        <is>
          <t>Valider assurance et adaptations</t>
        </is>
      </c>
      <c r="D19" s="21" t="inlineStr">
        <is>
          <t>Logistique</t>
        </is>
      </c>
      <c r="E19" s="21" t="n">
        <v>-35</v>
      </c>
      <c r="F19" s="21" t="n">
        <v>-29</v>
      </c>
      <c r="G19" s="21" t="inlineStr">
        <is>
          <t>T11</t>
        </is>
      </c>
      <c r="H19" s="32">
        <f>'Paramètres'!$B$8+E19</f>
        <v/>
      </c>
      <c r="I19" s="32">
        <f>'Paramètres'!$B$8+F19</f>
        <v/>
      </c>
      <c r="J19" s="27">
        <f>I19-H19+1</f>
        <v/>
      </c>
      <c r="K19" s="21" t="inlineStr">
        <is>
          <t>À faire</t>
        </is>
      </c>
      <c r="L19" s="22" t="n">
        <v>0</v>
      </c>
      <c r="M19" s="20" t="inlineStr">
        <is>
          <t>Conditions confirmées</t>
        </is>
      </c>
      <c r="N19" s="27">
        <f>IF(K19="Terminé","Terminé",IF(K19="Bloqué","Bloqué",IF(I19&lt;'Paramètres'!$B$9,"En retard","Planifié")))</f>
        <v/>
      </c>
      <c r="O19" s="27">
        <f>IF(G19="","Sans dépendance",IFERROR(IF(H19&gt;=INDEX($I$8:$I$38,MATCH(G19,$A$8:$A$38,0)),"Cohérent","Chevauchement à arbitrer"),"ID inconnu"))</f>
        <v/>
      </c>
    </row>
    <row r="20" ht="43" customHeight="1">
      <c r="A20" s="18" t="inlineStr">
        <is>
          <t>T13</t>
        </is>
      </c>
      <c r="B20" s="18" t="inlineStr">
        <is>
          <t>Communication</t>
        </is>
      </c>
      <c r="C20" s="18" t="inlineStr">
        <is>
          <t>Affiche et invitation : conception graphique</t>
        </is>
      </c>
      <c r="D20" s="21" t="inlineStr">
        <is>
          <t>Communication</t>
        </is>
      </c>
      <c r="E20" s="18">
        <f>H20-'Paramètres'!$B$8</f>
        <v/>
      </c>
      <c r="F20" s="18">
        <f>I20-'Paramètres'!$B$8</f>
        <v/>
      </c>
      <c r="G20" s="21" t="inlineStr"/>
      <c r="H20" s="31" t="n">
        <v>46308</v>
      </c>
      <c r="I20" s="31" t="n">
        <v>46308</v>
      </c>
      <c r="J20" s="28">
        <f>I20-H20+1</f>
        <v/>
      </c>
      <c r="K20" s="21" t="inlineStr">
        <is>
          <t>Terminé</t>
        </is>
      </c>
      <c r="L20" s="22" t="n">
        <v>1</v>
      </c>
      <c r="M20" s="18" t="inlineStr">
        <is>
          <t>Visuels A3 / A5 créés le 13 octobre 2026</t>
        </is>
      </c>
      <c r="N20" s="28">
        <f>IF(K20="Terminé","Terminé",IF(K20="Bloqué","Bloqué",IF(I20&lt;'Paramètres'!$B$9,"En retard","Planifié")))</f>
        <v/>
      </c>
      <c r="O20" s="28">
        <f>IF(G20="","Sans dépendance",IFERROR(IF(H20&gt;=INDEX($I$8:$I$38,MATCH(G20,$A$8:$A$38,0)),"Cohérent","Chevauchement à arbitrer"),"ID inconnu"))</f>
        <v/>
      </c>
    </row>
    <row r="21" ht="43" customHeight="1">
      <c r="A21" s="20" t="inlineStr">
        <is>
          <t>T14</t>
        </is>
      </c>
      <c r="B21" s="20" t="inlineStr">
        <is>
          <t>Communication</t>
        </is>
      </c>
      <c r="C21" s="20" t="inlineStr">
        <is>
          <t>Adapter visuels aux informations confirmées</t>
        </is>
      </c>
      <c r="D21" s="21" t="inlineStr">
        <is>
          <t>Communication</t>
        </is>
      </c>
      <c r="E21" s="21" t="n">
        <v>-31</v>
      </c>
      <c r="F21" s="21" t="n">
        <v>-29</v>
      </c>
      <c r="G21" s="21" t="inlineStr">
        <is>
          <t>T10</t>
        </is>
      </c>
      <c r="H21" s="32">
        <f>'Paramètres'!$B$8+E21</f>
        <v/>
      </c>
      <c r="I21" s="32">
        <f>'Paramètres'!$B$8+F21</f>
        <v/>
      </c>
      <c r="J21" s="27">
        <f>I21-H21+1</f>
        <v/>
      </c>
      <c r="K21" s="21" t="inlineStr">
        <is>
          <t>À faire</t>
        </is>
      </c>
      <c r="L21" s="22" t="n">
        <v>0</v>
      </c>
      <c r="M21" s="20" t="inlineStr">
        <is>
          <t>Supports validés pour diffusion</t>
        </is>
      </c>
      <c r="N21" s="27">
        <f>IF(K21="Terminé","Terminé",IF(K21="Bloqué","Bloqué",IF(I21&lt;'Paramètres'!$B$9,"En retard","Planifié")))</f>
        <v/>
      </c>
      <c r="O21" s="27">
        <f>IF(G21="","Sans dépendance",IFERROR(IF(H21&gt;=INDEX($I$8:$I$38,MATCH(G21,$A$8:$A$38,0)),"Cohérent","Chevauchement à arbitrer"),"ID inconnu"))</f>
        <v/>
      </c>
    </row>
    <row r="22" ht="43" customHeight="1">
      <c r="A22" s="18" t="inlineStr">
        <is>
          <t>T15</t>
        </is>
      </c>
      <c r="B22" s="18" t="inlineStr">
        <is>
          <t>Communication</t>
        </is>
      </c>
      <c r="C22" s="18" t="inlineStr">
        <is>
          <t>Préparer page et formulaire inscription</t>
        </is>
      </c>
      <c r="D22" s="21" t="inlineStr">
        <is>
          <t>Communication / accueil</t>
        </is>
      </c>
      <c r="E22" s="21" t="n">
        <v>-35</v>
      </c>
      <c r="F22" s="21" t="n">
        <v>-29</v>
      </c>
      <c r="G22" s="21" t="inlineStr">
        <is>
          <t>T06</t>
        </is>
      </c>
      <c r="H22" s="31">
        <f>'Paramètres'!$B$8+E22</f>
        <v/>
      </c>
      <c r="I22" s="31">
        <f>'Paramètres'!$B$8+F22</f>
        <v/>
      </c>
      <c r="J22" s="28">
        <f>I22-H22+1</f>
        <v/>
      </c>
      <c r="K22" s="21" t="inlineStr">
        <is>
          <t>À faire</t>
        </is>
      </c>
      <c r="L22" s="22" t="n">
        <v>0</v>
      </c>
      <c r="M22" s="18" t="inlineStr">
        <is>
          <t>Parcours testé</t>
        </is>
      </c>
      <c r="N22" s="28">
        <f>IF(K22="Terminé","Terminé",IF(K22="Bloqué","Bloqué",IF(I22&lt;'Paramètres'!$B$9,"En retard","Planifié")))</f>
        <v/>
      </c>
      <c r="O22" s="28">
        <f>IF(G22="","Sans dépendance",IFERROR(IF(H22&gt;=INDEX($I$8:$I$38,MATCH(G22,$A$8:$A$38,0)),"Cohérent","Chevauchement à arbitrer"),"ID inconnu"))</f>
        <v/>
      </c>
    </row>
    <row r="23" ht="43" customHeight="1">
      <c r="A23" s="20" t="inlineStr">
        <is>
          <t>T16</t>
        </is>
      </c>
      <c r="B23" s="20" t="inlineStr">
        <is>
          <t>Communication</t>
        </is>
      </c>
      <c r="C23" s="20" t="inlineStr">
        <is>
          <t>Valider ouverture des inscriptions</t>
        </is>
      </c>
      <c r="D23" s="21" t="inlineStr">
        <is>
          <t>Responsable projet</t>
        </is>
      </c>
      <c r="E23" s="21" t="n">
        <v>-29</v>
      </c>
      <c r="F23" s="21" t="n">
        <v>-28</v>
      </c>
      <c r="G23" s="21" t="inlineStr">
        <is>
          <t>T15</t>
        </is>
      </c>
      <c r="H23" s="32">
        <f>'Paramètres'!$B$8+E23</f>
        <v/>
      </c>
      <c r="I23" s="32">
        <f>'Paramètres'!$B$8+F23</f>
        <v/>
      </c>
      <c r="J23" s="27">
        <f>I23-H23+1</f>
        <v/>
      </c>
      <c r="K23" s="21" t="inlineStr">
        <is>
          <t>À faire</t>
        </is>
      </c>
      <c r="L23" s="22" t="n">
        <v>0</v>
      </c>
      <c r="M23" s="20" t="inlineStr">
        <is>
          <t>Décision de diffusion</t>
        </is>
      </c>
      <c r="N23" s="27">
        <f>IF(K23="Terminé","Terminé",IF(K23="Bloqué","Bloqué",IF(I23&lt;'Paramètres'!$B$9,"En retard","Planifié")))</f>
        <v/>
      </c>
      <c r="O23" s="27">
        <f>IF(G23="","Sans dépendance",IFERROR(IF(H23&gt;=INDEX($I$8:$I$38,MATCH(G23,$A$8:$A$38,0)),"Cohérent","Chevauchement à arbitrer"),"ID inconnu"))</f>
        <v/>
      </c>
    </row>
    <row r="24" ht="43" customHeight="1">
      <c r="A24" s="18" t="inlineStr">
        <is>
          <t>T17</t>
        </is>
      </c>
      <c r="B24" s="18" t="inlineStr">
        <is>
          <t>Communication</t>
        </is>
      </c>
      <c r="C24" s="18" t="inlineStr">
        <is>
          <t>Diffuser annonce et invitation</t>
        </is>
      </c>
      <c r="D24" s="21" t="inlineStr">
        <is>
          <t>Communication</t>
        </is>
      </c>
      <c r="E24" s="21" t="n">
        <v>-28</v>
      </c>
      <c r="F24" s="21" t="n">
        <v>-25</v>
      </c>
      <c r="G24" s="21" t="inlineStr">
        <is>
          <t>T16</t>
        </is>
      </c>
      <c r="H24" s="31">
        <f>'Paramètres'!$B$8+E24</f>
        <v/>
      </c>
      <c r="I24" s="31">
        <f>'Paramètres'!$B$8+F24</f>
        <v/>
      </c>
      <c r="J24" s="28">
        <f>I24-H24+1</f>
        <v/>
      </c>
      <c r="K24" s="21" t="inlineStr">
        <is>
          <t>À faire</t>
        </is>
      </c>
      <c r="L24" s="22" t="n">
        <v>0</v>
      </c>
      <c r="M24" s="18" t="inlineStr">
        <is>
          <t>Publication et e-mail</t>
        </is>
      </c>
      <c r="N24" s="28">
        <f>IF(K24="Terminé","Terminé",IF(K24="Bloqué","Bloqué",IF(I24&lt;'Paramètres'!$B$9,"En retard","Planifié")))</f>
        <v/>
      </c>
      <c r="O24" s="28">
        <f>IF(G24="","Sans dépendance",IFERROR(IF(H24&gt;=INDEX($I$8:$I$38,MATCH(G24,$A$8:$A$38,0)),"Cohérent","Chevauchement à arbitrer"),"ID inconnu"))</f>
        <v/>
      </c>
    </row>
    <row r="25" ht="43" customHeight="1">
      <c r="A25" s="20" t="inlineStr">
        <is>
          <t>T18</t>
        </is>
      </c>
      <c r="B25" s="20" t="inlineStr">
        <is>
          <t>Communication</t>
        </is>
      </c>
      <c r="C25" s="20" t="inlineStr">
        <is>
          <t>Contacter les relais pertinents</t>
        </is>
      </c>
      <c r="D25" s="21" t="inlineStr">
        <is>
          <t>Communication</t>
        </is>
      </c>
      <c r="E25" s="21" t="n">
        <v>-25</v>
      </c>
      <c r="F25" s="21" t="n">
        <v>-21</v>
      </c>
      <c r="G25" s="21" t="inlineStr">
        <is>
          <t>T17</t>
        </is>
      </c>
      <c r="H25" s="32">
        <f>'Paramètres'!$B$8+E25</f>
        <v/>
      </c>
      <c r="I25" s="32">
        <f>'Paramètres'!$B$8+F25</f>
        <v/>
      </c>
      <c r="J25" s="27">
        <f>I25-H25+1</f>
        <v/>
      </c>
      <c r="K25" s="21" t="inlineStr">
        <is>
          <t>À faire</t>
        </is>
      </c>
      <c r="L25" s="22" t="n">
        <v>0</v>
      </c>
      <c r="M25" s="20" t="inlineStr">
        <is>
          <t>Suivi de diffusion</t>
        </is>
      </c>
      <c r="N25" s="27">
        <f>IF(K25="Terminé","Terminé",IF(K25="Bloqué","Bloqué",IF(I25&lt;'Paramètres'!$B$9,"En retard","Planifié")))</f>
        <v/>
      </c>
      <c r="O25" s="27">
        <f>IF(G25="","Sans dépendance",IFERROR(IF(H25&gt;=INDEX($I$8:$I$38,MATCH(G25,$A$8:$A$38,0)),"Cohérent","Chevauchement à arbitrer"),"ID inconnu"))</f>
        <v/>
      </c>
    </row>
    <row r="26" ht="43" customHeight="1">
      <c r="A26" s="18" t="inlineStr">
        <is>
          <t>T19</t>
        </is>
      </c>
      <c r="B26" s="18" t="inlineStr">
        <is>
          <t>Communication</t>
        </is>
      </c>
      <c r="C26" s="18" t="inlineStr">
        <is>
          <t>Diffuser programme confirmé</t>
        </is>
      </c>
      <c r="D26" s="21" t="inlineStr">
        <is>
          <t>Communication</t>
        </is>
      </c>
      <c r="E26" s="21" t="n">
        <v>-14</v>
      </c>
      <c r="F26" s="21" t="n">
        <v>-12</v>
      </c>
      <c r="G26" s="21" t="inlineStr">
        <is>
          <t>T18</t>
        </is>
      </c>
      <c r="H26" s="31">
        <f>'Paramètres'!$B$8+E26</f>
        <v/>
      </c>
      <c r="I26" s="31">
        <f>'Paramètres'!$B$8+F26</f>
        <v/>
      </c>
      <c r="J26" s="28">
        <f>I26-H26+1</f>
        <v/>
      </c>
      <c r="K26" s="21" t="inlineStr">
        <is>
          <t>À faire</t>
        </is>
      </c>
      <c r="L26" s="22" t="n">
        <v>0</v>
      </c>
      <c r="M26" s="18" t="inlineStr">
        <is>
          <t>Programme public</t>
        </is>
      </c>
      <c r="N26" s="28">
        <f>IF(K26="Terminé","Terminé",IF(K26="Bloqué","Bloqué",IF(I26&lt;'Paramètres'!$B$9,"En retard","Planifié")))</f>
        <v/>
      </c>
      <c r="O26" s="28">
        <f>IF(G26="","Sans dépendance",IFERROR(IF(H26&gt;=INDEX($I$8:$I$38,MATCH(G26,$A$8:$A$38,0)),"Cohérent","Chevauchement à arbitrer"),"ID inconnu"))</f>
        <v/>
      </c>
    </row>
    <row r="27" ht="43" customHeight="1">
      <c r="A27" s="20" t="inlineStr">
        <is>
          <t>T20</t>
        </is>
      </c>
      <c r="B27" s="20" t="inlineStr">
        <is>
          <t>Conduite</t>
        </is>
      </c>
      <c r="C27" s="20" t="inlineStr">
        <is>
          <t>Préparer conducteur et responsabilités</t>
        </is>
      </c>
      <c r="D27" s="21" t="inlineStr">
        <is>
          <t>Responsable projet</t>
        </is>
      </c>
      <c r="E27" s="21" t="n">
        <v>-21</v>
      </c>
      <c r="F27" s="21" t="n">
        <v>-14</v>
      </c>
      <c r="G27" s="21" t="inlineStr">
        <is>
          <t>T10</t>
        </is>
      </c>
      <c r="H27" s="32">
        <f>'Paramètres'!$B$8+E27</f>
        <v/>
      </c>
      <c r="I27" s="32">
        <f>'Paramètres'!$B$8+F27</f>
        <v/>
      </c>
      <c r="J27" s="27">
        <f>I27-H27+1</f>
        <v/>
      </c>
      <c r="K27" s="21" t="inlineStr">
        <is>
          <t>À faire</t>
        </is>
      </c>
      <c r="L27" s="22" t="n">
        <v>0</v>
      </c>
      <c r="M27" s="20" t="inlineStr">
        <is>
          <t>Conducteur partagé</t>
        </is>
      </c>
      <c r="N27" s="27">
        <f>IF(K27="Terminé","Terminé",IF(K27="Bloqué","Bloqué",IF(I27&lt;'Paramètres'!$B$9,"En retard","Planifié")))</f>
        <v/>
      </c>
      <c r="O27" s="27">
        <f>IF(G27="","Sans dépendance",IFERROR(IF(H27&gt;=INDEX($I$8:$I$38,MATCH(G27,$A$8:$A$38,0)),"Cohérent","Chevauchement à arbitrer"),"ID inconnu"))</f>
        <v/>
      </c>
    </row>
    <row r="28" ht="43" customHeight="1">
      <c r="A28" s="18" t="inlineStr">
        <is>
          <t>T21</t>
        </is>
      </c>
      <c r="B28" s="18" t="inlineStr">
        <is>
          <t>Conduite</t>
        </is>
      </c>
      <c r="C28" s="18" t="inlineStr">
        <is>
          <t>Briefer équipe et intervenants</t>
        </is>
      </c>
      <c r="D28" s="21" t="inlineStr">
        <is>
          <t>Responsable projet</t>
        </is>
      </c>
      <c r="E28" s="21" t="n">
        <v>-14</v>
      </c>
      <c r="F28" s="21" t="n">
        <v>-7</v>
      </c>
      <c r="G28" s="21" t="inlineStr">
        <is>
          <t>T20</t>
        </is>
      </c>
      <c r="H28" s="31">
        <f>'Paramètres'!$B$8+E28</f>
        <v/>
      </c>
      <c r="I28" s="31">
        <f>'Paramètres'!$B$8+F28</f>
        <v/>
      </c>
      <c r="J28" s="28">
        <f>I28-H28+1</f>
        <v/>
      </c>
      <c r="K28" s="21" t="inlineStr">
        <is>
          <t>À faire</t>
        </is>
      </c>
      <c r="L28" s="22" t="n">
        <v>0</v>
      </c>
      <c r="M28" s="18" t="inlineStr">
        <is>
          <t>Brief et confirmations</t>
        </is>
      </c>
      <c r="N28" s="28">
        <f>IF(K28="Terminé","Terminé",IF(K28="Bloqué","Bloqué",IF(I28&lt;'Paramètres'!$B$9,"En retard","Planifié")))</f>
        <v/>
      </c>
      <c r="O28" s="28">
        <f>IF(G28="","Sans dépendance",IFERROR(IF(H28&gt;=INDEX($I$8:$I$38,MATCH(G28,$A$8:$A$38,0)),"Cohérent","Chevauchement à arbitrer"),"ID inconnu"))</f>
        <v/>
      </c>
    </row>
    <row r="29" ht="43" customHeight="1">
      <c r="A29" s="20" t="inlineStr">
        <is>
          <t>T22</t>
        </is>
      </c>
      <c r="B29" s="20" t="inlineStr">
        <is>
          <t>Accueil</t>
        </is>
      </c>
      <c r="C29" s="20" t="inlineStr">
        <is>
          <t>Vérifier jauge et besoins d’accueil</t>
        </is>
      </c>
      <c r="D29" s="21" t="inlineStr">
        <is>
          <t>Accueil</t>
        </is>
      </c>
      <c r="E29" s="21" t="n">
        <v>-7</v>
      </c>
      <c r="F29" s="21" t="n">
        <v>-3</v>
      </c>
      <c r="G29" s="21" t="inlineStr">
        <is>
          <t>T21</t>
        </is>
      </c>
      <c r="H29" s="32">
        <f>'Paramètres'!$B$8+E29</f>
        <v/>
      </c>
      <c r="I29" s="32">
        <f>'Paramètres'!$B$8+F29</f>
        <v/>
      </c>
      <c r="J29" s="27">
        <f>I29-H29+1</f>
        <v/>
      </c>
      <c r="K29" s="21" t="inlineStr">
        <is>
          <t>À faire</t>
        </is>
      </c>
      <c r="L29" s="22" t="n">
        <v>0</v>
      </c>
      <c r="M29" s="20" t="inlineStr">
        <is>
          <t>Organisation accueil</t>
        </is>
      </c>
      <c r="N29" s="27">
        <f>IF(K29="Terminé","Terminé",IF(K29="Bloqué","Bloqué",IF(I29&lt;'Paramètres'!$B$9,"En retard","Planifié")))</f>
        <v/>
      </c>
      <c r="O29" s="27">
        <f>IF(G29="","Sans dépendance",IFERROR(IF(H29&gt;=INDEX($I$8:$I$38,MATCH(G29,$A$8:$A$38,0)),"Cohérent","Chevauchement à arbitrer"),"ID inconnu"))</f>
        <v/>
      </c>
    </row>
    <row r="30" ht="43" customHeight="1">
      <c r="A30" s="18" t="inlineStr">
        <is>
          <t>T23</t>
        </is>
      </c>
      <c r="B30" s="18" t="inlineStr">
        <is>
          <t>Accueil</t>
        </is>
      </c>
      <c r="C30" s="18" t="inlineStr">
        <is>
          <t>Envoyer rappel et accès</t>
        </is>
      </c>
      <c r="D30" s="21" t="inlineStr">
        <is>
          <t>Communication</t>
        </is>
      </c>
      <c r="E30" s="21" t="n">
        <v>-2</v>
      </c>
      <c r="F30" s="21" t="n">
        <v>-2</v>
      </c>
      <c r="G30" s="21" t="inlineStr">
        <is>
          <t>T22</t>
        </is>
      </c>
      <c r="H30" s="31">
        <f>'Paramètres'!$B$8+E30</f>
        <v/>
      </c>
      <c r="I30" s="31">
        <f>'Paramètres'!$B$8+F30</f>
        <v/>
      </c>
      <c r="J30" s="28">
        <f>I30-H30+1</f>
        <v/>
      </c>
      <c r="K30" s="21" t="inlineStr">
        <is>
          <t>À faire</t>
        </is>
      </c>
      <c r="L30" s="22" t="n">
        <v>0</v>
      </c>
      <c r="M30" s="18" t="inlineStr">
        <is>
          <t>E-mail pratique</t>
        </is>
      </c>
      <c r="N30" s="28">
        <f>IF(K30="Terminé","Terminé",IF(K30="Bloqué","Bloqué",IF(I30&lt;'Paramètres'!$B$9,"En retard","Planifié")))</f>
        <v/>
      </c>
      <c r="O30" s="28">
        <f>IF(G30="","Sans dépendance",IFERROR(IF(H30&gt;=INDEX($I$8:$I$38,MATCH(G30,$A$8:$A$38,0)),"Cohérent","Chevauchement à arbitrer"),"ID inconnu"))</f>
        <v/>
      </c>
    </row>
    <row r="31" ht="43" customHeight="1">
      <c r="A31" s="20" t="inlineStr">
        <is>
          <t>T24</t>
        </is>
      </c>
      <c r="B31" s="20" t="inlineStr">
        <is>
          <t>Technique</t>
        </is>
      </c>
      <c r="C31" s="20" t="inlineStr">
        <is>
          <t>Tester matériel et plan de secours</t>
        </is>
      </c>
      <c r="D31" s="21" t="inlineStr">
        <is>
          <t>Régie</t>
        </is>
      </c>
      <c r="E31" s="21" t="n">
        <v>-2</v>
      </c>
      <c r="F31" s="21" t="n">
        <v>-1</v>
      </c>
      <c r="G31" s="21" t="inlineStr">
        <is>
          <t>T12</t>
        </is>
      </c>
      <c r="H31" s="32">
        <f>'Paramètres'!$B$8+E31</f>
        <v/>
      </c>
      <c r="I31" s="32">
        <f>'Paramètres'!$B$8+F31</f>
        <v/>
      </c>
      <c r="J31" s="27">
        <f>I31-H31+1</f>
        <v/>
      </c>
      <c r="K31" s="21" t="inlineStr">
        <is>
          <t>À faire</t>
        </is>
      </c>
      <c r="L31" s="22" t="n">
        <v>0</v>
      </c>
      <c r="M31" s="20" t="inlineStr">
        <is>
          <t>Tests validés</t>
        </is>
      </c>
      <c r="N31" s="27">
        <f>IF(K31="Terminé","Terminé",IF(K31="Bloqué","Bloqué",IF(I31&lt;'Paramètres'!$B$9,"En retard","Planifié")))</f>
        <v/>
      </c>
      <c r="O31" s="27">
        <f>IF(G31="","Sans dépendance",IFERROR(IF(H31&gt;=INDEX($I$8:$I$38,MATCH(G31,$A$8:$A$38,0)),"Cohérent","Chevauchement à arbitrer"),"ID inconnu"))</f>
        <v/>
      </c>
    </row>
    <row r="32" ht="43" customHeight="1">
      <c r="A32" s="18" t="inlineStr">
        <is>
          <t>T25</t>
        </is>
      </c>
      <c r="B32" s="18" t="inlineStr">
        <is>
          <t>Événement</t>
        </is>
      </c>
      <c r="C32" s="18" t="inlineStr">
        <is>
          <t>Installer et contrôler le lieu</t>
        </is>
      </c>
      <c r="D32" s="21" t="inlineStr">
        <is>
          <t>Logistique</t>
        </is>
      </c>
      <c r="E32" s="21" t="n">
        <v>0</v>
      </c>
      <c r="F32" s="21" t="n">
        <v>0</v>
      </c>
      <c r="G32" s="21" t="inlineStr">
        <is>
          <t>T24</t>
        </is>
      </c>
      <c r="H32" s="31">
        <f>'Paramètres'!$B$8+E32</f>
        <v/>
      </c>
      <c r="I32" s="31">
        <f>'Paramètres'!$B$8+F32</f>
        <v/>
      </c>
      <c r="J32" s="28">
        <f>I32-H32+1</f>
        <v/>
      </c>
      <c r="K32" s="21" t="inlineStr">
        <is>
          <t>À faire</t>
        </is>
      </c>
      <c r="L32" s="22" t="n">
        <v>0</v>
      </c>
      <c r="M32" s="18" t="inlineStr">
        <is>
          <t>Check-list ouverture</t>
        </is>
      </c>
      <c r="N32" s="28">
        <f>IF(K32="Terminé","Terminé",IF(K32="Bloqué","Bloqué",IF(I32&lt;'Paramètres'!$B$9,"En retard","Planifié")))</f>
        <v/>
      </c>
      <c r="O32" s="28">
        <f>IF(G32="","Sans dépendance",IFERROR(IF(H32&gt;=INDEX($I$8:$I$38,MATCH(G32,$A$8:$A$38,0)),"Cohérent","Chevauchement à arbitrer"),"ID inconnu"))</f>
        <v/>
      </c>
    </row>
    <row r="33" ht="43" customHeight="1">
      <c r="A33" s="20" t="inlineStr">
        <is>
          <t>T26</t>
        </is>
      </c>
      <c r="B33" s="20" t="inlineStr">
        <is>
          <t>Événement</t>
        </is>
      </c>
      <c r="C33" s="20" t="inlineStr">
        <is>
          <t>Accueillir et conduire la soirée</t>
        </is>
      </c>
      <c r="D33" s="21" t="inlineStr">
        <is>
          <t>Équipe</t>
        </is>
      </c>
      <c r="E33" s="21" t="n">
        <v>0</v>
      </c>
      <c r="F33" s="21" t="n">
        <v>0</v>
      </c>
      <c r="G33" s="21" t="inlineStr">
        <is>
          <t>T25</t>
        </is>
      </c>
      <c r="H33" s="32">
        <f>'Paramètres'!$B$8+E33</f>
        <v/>
      </c>
      <c r="I33" s="32">
        <f>'Paramètres'!$B$8+F33</f>
        <v/>
      </c>
      <c r="J33" s="27">
        <f>I33-H33+1</f>
        <v/>
      </c>
      <c r="K33" s="21" t="inlineStr">
        <is>
          <t>À faire</t>
        </is>
      </c>
      <c r="L33" s="22" t="n">
        <v>0</v>
      </c>
      <c r="M33" s="20" t="inlineStr">
        <is>
          <t>Journal de conduite</t>
        </is>
      </c>
      <c r="N33" s="27">
        <f>IF(K33="Terminé","Terminé",IF(K33="Bloqué","Bloqué",IF(I33&lt;'Paramètres'!$B$9,"En retard","Planifié")))</f>
        <v/>
      </c>
      <c r="O33" s="27">
        <f>IF(G33="","Sans dépendance",IFERROR(IF(H33&gt;=INDEX($I$8:$I$38,MATCH(G33,$A$8:$A$38,0)),"Cohérent","Chevauchement à arbitrer"),"ID inconnu"))</f>
        <v/>
      </c>
    </row>
    <row r="34" ht="43" customHeight="1">
      <c r="A34" s="18" t="inlineStr">
        <is>
          <t>T27</t>
        </is>
      </c>
      <c r="B34" s="18" t="inlineStr">
        <is>
          <t>Événement</t>
        </is>
      </c>
      <c r="C34" s="18" t="inlineStr">
        <is>
          <t>Restituer salle et inventorier matériel</t>
        </is>
      </c>
      <c r="D34" s="21" t="inlineStr">
        <is>
          <t>Logistique</t>
        </is>
      </c>
      <c r="E34" s="21" t="n">
        <v>0</v>
      </c>
      <c r="F34" s="21" t="n">
        <v>0</v>
      </c>
      <c r="G34" s="21" t="inlineStr">
        <is>
          <t>T26</t>
        </is>
      </c>
      <c r="H34" s="31">
        <f>'Paramètres'!$B$8+E34</f>
        <v/>
      </c>
      <c r="I34" s="31">
        <f>'Paramètres'!$B$8+F34</f>
        <v/>
      </c>
      <c r="J34" s="28">
        <f>I34-H34+1</f>
        <v/>
      </c>
      <c r="K34" s="21" t="inlineStr">
        <is>
          <t>À faire</t>
        </is>
      </c>
      <c r="L34" s="22" t="n">
        <v>0</v>
      </c>
      <c r="M34" s="18" t="inlineStr">
        <is>
          <t>Restitution vérifiée</t>
        </is>
      </c>
      <c r="N34" s="28">
        <f>IF(K34="Terminé","Terminé",IF(K34="Bloqué","Bloqué",IF(I34&lt;'Paramètres'!$B$9,"En retard","Planifié")))</f>
        <v/>
      </c>
      <c r="O34" s="28">
        <f>IF(G34="","Sans dépendance",IFERROR(IF(H34&gt;=INDEX($I$8:$I$38,MATCH(G34,$A$8:$A$38,0)),"Cohérent","Chevauchement à arbitrer"),"ID inconnu"))</f>
        <v/>
      </c>
    </row>
    <row r="35" ht="43" customHeight="1">
      <c r="A35" s="20" t="inlineStr">
        <is>
          <t>T28</t>
        </is>
      </c>
      <c r="B35" s="20" t="inlineStr">
        <is>
          <t>Bilan</t>
        </is>
      </c>
      <c r="C35" s="20" t="inlineStr">
        <is>
          <t>Envoyer ressources et questionnaire</t>
        </is>
      </c>
      <c r="D35" s="21" t="inlineStr">
        <is>
          <t>Communication</t>
        </is>
      </c>
      <c r="E35" s="21" t="n">
        <v>1</v>
      </c>
      <c r="F35" s="21" t="n">
        <v>3</v>
      </c>
      <c r="G35" s="21" t="inlineStr">
        <is>
          <t>T27</t>
        </is>
      </c>
      <c r="H35" s="32">
        <f>'Paramètres'!$B$8+E35</f>
        <v/>
      </c>
      <c r="I35" s="32">
        <f>'Paramètres'!$B$8+F35</f>
        <v/>
      </c>
      <c r="J35" s="27">
        <f>I35-H35+1</f>
        <v/>
      </c>
      <c r="K35" s="21" t="inlineStr">
        <is>
          <t>À faire</t>
        </is>
      </c>
      <c r="L35" s="22" t="n">
        <v>0</v>
      </c>
      <c r="M35" s="20" t="inlineStr">
        <is>
          <t>Message et questionnaire</t>
        </is>
      </c>
      <c r="N35" s="27">
        <f>IF(K35="Terminé","Terminé",IF(K35="Bloqué","Bloqué",IF(I35&lt;'Paramètres'!$B$9,"En retard","Planifié")))</f>
        <v/>
      </c>
      <c r="O35" s="27">
        <f>IF(G35="","Sans dépendance",IFERROR(IF(H35&gt;=INDEX($I$8:$I$38,MATCH(G35,$A$8:$A$38,0)),"Cohérent","Chevauchement à arbitrer"),"ID inconnu"))</f>
        <v/>
      </c>
    </row>
    <row r="36" ht="43" customHeight="1">
      <c r="A36" s="18" t="inlineStr">
        <is>
          <t>T29</t>
        </is>
      </c>
      <c r="B36" s="18" t="inlineStr">
        <is>
          <t>Bilan</t>
        </is>
      </c>
      <c r="C36" s="18" t="inlineStr">
        <is>
          <t>Rapprocher dépenses et paiements</t>
        </is>
      </c>
      <c r="D36" s="21" t="inlineStr">
        <is>
          <t>Responsable projet</t>
        </is>
      </c>
      <c r="E36" s="21" t="n">
        <v>3</v>
      </c>
      <c r="F36" s="21" t="n">
        <v>5</v>
      </c>
      <c r="G36" s="21" t="inlineStr">
        <is>
          <t>T28</t>
        </is>
      </c>
      <c r="H36" s="31">
        <f>'Paramètres'!$B$8+E36</f>
        <v/>
      </c>
      <c r="I36" s="31">
        <f>'Paramètres'!$B$8+F36</f>
        <v/>
      </c>
      <c r="J36" s="28">
        <f>I36-H36+1</f>
        <v/>
      </c>
      <c r="K36" s="21" t="inlineStr">
        <is>
          <t>À faire</t>
        </is>
      </c>
      <c r="L36" s="22" t="n">
        <v>0</v>
      </c>
      <c r="M36" s="18" t="inlineStr">
        <is>
          <t>Registre rapproché</t>
        </is>
      </c>
      <c r="N36" s="28">
        <f>IF(K36="Terminé","Terminé",IF(K36="Bloqué","Bloqué",IF(I36&lt;'Paramètres'!$B$9,"En retard","Planifié")))</f>
        <v/>
      </c>
      <c r="O36" s="28">
        <f>IF(G36="","Sans dépendance",IFERROR(IF(H36&gt;=INDEX($I$8:$I$38,MATCH(G36,$A$8:$A$38,0)),"Cohérent","Chevauchement à arbitrer"),"ID inconnu"))</f>
        <v/>
      </c>
    </row>
    <row r="37" ht="43" customHeight="1">
      <c r="A37" s="20" t="inlineStr">
        <is>
          <t>T30</t>
        </is>
      </c>
      <c r="B37" s="20" t="inlineStr">
        <is>
          <t>Bilan</t>
        </is>
      </c>
      <c r="C37" s="20" t="inlineStr">
        <is>
          <t>Consolider fréquentation et retours</t>
        </is>
      </c>
      <c r="D37" s="21" t="inlineStr">
        <is>
          <t>Responsable projet</t>
        </is>
      </c>
      <c r="E37" s="21" t="n">
        <v>5</v>
      </c>
      <c r="F37" s="21" t="n">
        <v>7</v>
      </c>
      <c r="G37" s="21" t="inlineStr">
        <is>
          <t>T29</t>
        </is>
      </c>
      <c r="H37" s="32">
        <f>'Paramètres'!$B$8+E37</f>
        <v/>
      </c>
      <c r="I37" s="32">
        <f>'Paramètres'!$B$8+F37</f>
        <v/>
      </c>
      <c r="J37" s="27">
        <f>I37-H37+1</f>
        <v/>
      </c>
      <c r="K37" s="21" t="inlineStr">
        <is>
          <t>À faire</t>
        </is>
      </c>
      <c r="L37" s="22" t="n">
        <v>0</v>
      </c>
      <c r="M37" s="20" t="inlineStr">
        <is>
          <t>Bilan renseigné</t>
        </is>
      </c>
      <c r="N37" s="27">
        <f>IF(K37="Terminé","Terminé",IF(K37="Bloqué","Bloqué",IF(I37&lt;'Paramètres'!$B$9,"En retard","Planifié")))</f>
        <v/>
      </c>
      <c r="O37" s="27">
        <f>IF(G37="","Sans dépendance",IFERROR(IF(H37&gt;=INDEX($I$8:$I$38,MATCH(G37,$A$8:$A$38,0)),"Cohérent","Chevauchement à arbitrer"),"ID inconnu"))</f>
        <v/>
      </c>
    </row>
    <row r="38" ht="43" customHeight="1">
      <c r="A38" s="18" t="inlineStr">
        <is>
          <t>T31</t>
        </is>
      </c>
      <c r="B38" s="18" t="inlineStr">
        <is>
          <t>Bilan</t>
        </is>
      </c>
      <c r="C38" s="18" t="inlineStr">
        <is>
          <t>Décider les suites du projet</t>
        </is>
      </c>
      <c r="D38" s="21" t="inlineStr">
        <is>
          <t>Responsable projet</t>
        </is>
      </c>
      <c r="E38" s="21" t="n">
        <v>7</v>
      </c>
      <c r="F38" s="21" t="n">
        <v>7</v>
      </c>
      <c r="G38" s="21" t="inlineStr">
        <is>
          <t>T30</t>
        </is>
      </c>
      <c r="H38" s="31">
        <f>'Paramètres'!$B$8+E38</f>
        <v/>
      </c>
      <c r="I38" s="31">
        <f>'Paramètres'!$B$8+F38</f>
        <v/>
      </c>
      <c r="J38" s="28">
        <f>I38-H38+1</f>
        <v/>
      </c>
      <c r="K38" s="21" t="inlineStr">
        <is>
          <t>À faire</t>
        </is>
      </c>
      <c r="L38" s="22" t="n">
        <v>0</v>
      </c>
      <c r="M38" s="18" t="inlineStr">
        <is>
          <t>Décision finale</t>
        </is>
      </c>
      <c r="N38" s="28">
        <f>IF(K38="Terminé","Terminé",IF(K38="Bloqué","Bloqué",IF(I38&lt;'Paramètres'!$B$9,"En retard","Planifié")))</f>
        <v/>
      </c>
      <c r="O38" s="28">
        <f>IF(G38="","Sans dépendance",IFERROR(IF(H38&gt;=INDEX($I$8:$I$38,MATCH(G38,$A$8:$A$38,0)),"Cohérent","Chevauchement à arbitrer"),"ID inconnu"))</f>
        <v/>
      </c>
    </row>
  </sheetData>
  <autoFilter ref="A7:O38"/>
  <mergeCells count="2">
    <mergeCell ref="A1:O2"/>
    <mergeCell ref="A4:O5"/>
  </mergeCells>
  <conditionalFormatting sqref="K8:K38">
    <cfRule type="expression" priority="1" dxfId="1">
      <formula>K8="Terminé"</formula>
    </cfRule>
    <cfRule type="expression" priority="2" dxfId="2">
      <formula>K8="Bloqué"</formula>
    </cfRule>
  </conditionalFormatting>
  <conditionalFormatting sqref="L8:L38">
    <cfRule type="dataBar" priority="3">
      <dataBar>
        <cfvo type="num" val="0"/>
        <cfvo type="num" val="1"/>
        <color rgb="0018715A"/>
      </dataBar>
    </cfRule>
  </conditionalFormatting>
  <conditionalFormatting sqref="N8:N38">
    <cfRule type="expression" priority="4" dxfId="0">
      <formula>N8="En retard"</formula>
    </cfRule>
  </conditionalFormatting>
  <dataValidations count="3">
    <dataValidation sqref="K8:K38" showDropDown="0" showInputMessage="0" showErrorMessage="1" allowBlank="1" errorTitle="Valeur à vérifier" error="Utilisez une valeur autorisée." type="list" errorStyle="stop">
      <formula1>Statuts</formula1>
    </dataValidation>
    <dataValidation sqref="L8:L38" showDropDown="0" showInputMessage="0" showErrorMessage="1" allowBlank="1" errorTitle="Valeur à vérifier" error="Utilisez une valeur autorisée." type="decimal" errorStyle="stop" operator="between">
      <formula1>0</formula1>
      <formula2>1</formula2>
    </dataValidation>
    <dataValidation sqref="G8:G38" showDropDown="0" showInputMessage="0" showErrorMessage="1" allowBlank="1" errorTitle="Valeur à vérifier" error="Utilisez une valeur autorisée." type="list" errorStyle="stop">
      <formula1>TaskIDs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38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5" customWidth="1" min="2" max="2"/>
    <col width="25" customWidth="1" min="3" max="3"/>
    <col width="17" customWidth="1" min="4" max="4"/>
    <col width="17" customWidth="1" min="5" max="5"/>
    <col width="19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4" customHeight="1">
      <c r="A1" s="1" t="inlineStr">
        <is>
          <t>06 / CALENDRIER VISUEL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/>
    <row r="4" ht="22" customHeight="1">
      <c r="A4" s="3" t="inlineStr">
        <is>
          <t>Une colonne par semaine. Doré = planifié, vert = terminé, rouge = blocage. Dates et statuts proviennent du rétroplanning.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</t>
        </is>
      </c>
      <c r="B7" s="5" t="inlineStr">
        <is>
          <t>Action</t>
        </is>
      </c>
      <c r="C7" s="5" t="inlineStr">
        <is>
          <t>Pilote</t>
        </is>
      </c>
      <c r="D7" s="5" t="inlineStr">
        <is>
          <t>Début</t>
        </is>
      </c>
      <c r="E7" s="5" t="inlineStr">
        <is>
          <t>Fin</t>
        </is>
      </c>
      <c r="F7" s="5" t="inlineStr">
        <is>
          <t>Statut</t>
        </is>
      </c>
      <c r="G7" s="33">
        <f>'Paramètres'!$B$8-56+0</f>
        <v/>
      </c>
      <c r="H7" s="33">
        <f>'Paramètres'!$B$8-56+7</f>
        <v/>
      </c>
      <c r="I7" s="33">
        <f>'Paramètres'!$B$8-56+14</f>
        <v/>
      </c>
      <c r="J7" s="33">
        <f>'Paramètres'!$B$8-56+21</f>
        <v/>
      </c>
      <c r="K7" s="33">
        <f>'Paramètres'!$B$8-56+28</f>
        <v/>
      </c>
      <c r="L7" s="33">
        <f>'Paramètres'!$B$8-56+35</f>
        <v/>
      </c>
      <c r="M7" s="33">
        <f>'Paramètres'!$B$8-56+42</f>
        <v/>
      </c>
      <c r="N7" s="33">
        <f>'Paramètres'!$B$8-56+49</f>
        <v/>
      </c>
      <c r="O7" s="33">
        <f>'Paramètres'!$B$8-56+56</f>
        <v/>
      </c>
      <c r="P7" s="33">
        <f>'Paramètres'!$B$8-56+63</f>
        <v/>
      </c>
    </row>
    <row r="8" ht="43" customHeight="1">
      <c r="A8" s="28">
        <f>'Rétroplanning'!A8</f>
        <v/>
      </c>
      <c r="B8" s="28">
        <f>'Rétroplanning'!C8</f>
        <v/>
      </c>
      <c r="C8" s="28">
        <f>'Rétroplanning'!D8</f>
        <v/>
      </c>
      <c r="D8" s="31">
        <f>'Rétroplanning'!H8</f>
        <v/>
      </c>
      <c r="E8" s="31">
        <f>'Rétroplanning'!I8</f>
        <v/>
      </c>
      <c r="F8" s="28">
        <f>'Rétroplanning'!K8</f>
        <v/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</row>
    <row r="9" ht="43" customHeight="1">
      <c r="A9" s="27">
        <f>'Rétroplanning'!A9</f>
        <v/>
      </c>
      <c r="B9" s="27">
        <f>'Rétroplanning'!C9</f>
        <v/>
      </c>
      <c r="C9" s="27">
        <f>'Rétroplanning'!D9</f>
        <v/>
      </c>
      <c r="D9" s="32">
        <f>'Rétroplanning'!H9</f>
        <v/>
      </c>
      <c r="E9" s="32">
        <f>'Rétroplanning'!I9</f>
        <v/>
      </c>
      <c r="F9" s="27">
        <f>'Rétroplanning'!K9</f>
        <v/>
      </c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</row>
    <row r="10" ht="43" customHeight="1">
      <c r="A10" s="28">
        <f>'Rétroplanning'!A10</f>
        <v/>
      </c>
      <c r="B10" s="28">
        <f>'Rétroplanning'!C10</f>
        <v/>
      </c>
      <c r="C10" s="28">
        <f>'Rétroplanning'!D10</f>
        <v/>
      </c>
      <c r="D10" s="31">
        <f>'Rétroplanning'!H10</f>
        <v/>
      </c>
      <c r="E10" s="31">
        <f>'Rétroplanning'!I10</f>
        <v/>
      </c>
      <c r="F10" s="28">
        <f>'Rétroplanning'!K10</f>
        <v/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</row>
    <row r="11" ht="43" customHeight="1">
      <c r="A11" s="27">
        <f>'Rétroplanning'!A11</f>
        <v/>
      </c>
      <c r="B11" s="27">
        <f>'Rétroplanning'!C11</f>
        <v/>
      </c>
      <c r="C11" s="27">
        <f>'Rétroplanning'!D11</f>
        <v/>
      </c>
      <c r="D11" s="32">
        <f>'Rétroplanning'!H11</f>
        <v/>
      </c>
      <c r="E11" s="32">
        <f>'Rétroplanning'!I11</f>
        <v/>
      </c>
      <c r="F11" s="27">
        <f>'Rétroplanning'!K11</f>
        <v/>
      </c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</row>
    <row r="12" ht="43" customHeight="1">
      <c r="A12" s="28">
        <f>'Rétroplanning'!A12</f>
        <v/>
      </c>
      <c r="B12" s="28">
        <f>'Rétroplanning'!C12</f>
        <v/>
      </c>
      <c r="C12" s="28">
        <f>'Rétroplanning'!D12</f>
        <v/>
      </c>
      <c r="D12" s="31">
        <f>'Rétroplanning'!H12</f>
        <v/>
      </c>
      <c r="E12" s="31">
        <f>'Rétroplanning'!I12</f>
        <v/>
      </c>
      <c r="F12" s="28">
        <f>'Rétroplanning'!K12</f>
        <v/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</row>
    <row r="13" ht="43" customHeight="1">
      <c r="A13" s="27">
        <f>'Rétroplanning'!A13</f>
        <v/>
      </c>
      <c r="B13" s="27">
        <f>'Rétroplanning'!C13</f>
        <v/>
      </c>
      <c r="C13" s="27">
        <f>'Rétroplanning'!D13</f>
        <v/>
      </c>
      <c r="D13" s="32">
        <f>'Rétroplanning'!H13</f>
        <v/>
      </c>
      <c r="E13" s="32">
        <f>'Rétroplanning'!I13</f>
        <v/>
      </c>
      <c r="F13" s="27">
        <f>'Rétroplanning'!K13</f>
        <v/>
      </c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</row>
    <row r="14" ht="43" customHeight="1">
      <c r="A14" s="28">
        <f>'Rétroplanning'!A14</f>
        <v/>
      </c>
      <c r="B14" s="28">
        <f>'Rétroplanning'!C14</f>
        <v/>
      </c>
      <c r="C14" s="28">
        <f>'Rétroplanning'!D14</f>
        <v/>
      </c>
      <c r="D14" s="31">
        <f>'Rétroplanning'!H14</f>
        <v/>
      </c>
      <c r="E14" s="31">
        <f>'Rétroplanning'!I14</f>
        <v/>
      </c>
      <c r="F14" s="28">
        <f>'Rétroplanning'!K14</f>
        <v/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</row>
    <row r="15" ht="43" customHeight="1">
      <c r="A15" s="27">
        <f>'Rétroplanning'!A15</f>
        <v/>
      </c>
      <c r="B15" s="27">
        <f>'Rétroplanning'!C15</f>
        <v/>
      </c>
      <c r="C15" s="27">
        <f>'Rétroplanning'!D15</f>
        <v/>
      </c>
      <c r="D15" s="32">
        <f>'Rétroplanning'!H15</f>
        <v/>
      </c>
      <c r="E15" s="32">
        <f>'Rétroplanning'!I15</f>
        <v/>
      </c>
      <c r="F15" s="27">
        <f>'Rétroplanning'!K15</f>
        <v/>
      </c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</row>
    <row r="16" ht="43" customHeight="1">
      <c r="A16" s="28">
        <f>'Rétroplanning'!A16</f>
        <v/>
      </c>
      <c r="B16" s="28">
        <f>'Rétroplanning'!C16</f>
        <v/>
      </c>
      <c r="C16" s="28">
        <f>'Rétroplanning'!D16</f>
        <v/>
      </c>
      <c r="D16" s="31">
        <f>'Rétroplanning'!H16</f>
        <v/>
      </c>
      <c r="E16" s="31">
        <f>'Rétroplanning'!I16</f>
        <v/>
      </c>
      <c r="F16" s="28">
        <f>'Rétroplanning'!K16</f>
        <v/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</row>
    <row r="17" ht="43" customHeight="1">
      <c r="A17" s="27">
        <f>'Rétroplanning'!A17</f>
        <v/>
      </c>
      <c r="B17" s="27">
        <f>'Rétroplanning'!C17</f>
        <v/>
      </c>
      <c r="C17" s="27">
        <f>'Rétroplanning'!D17</f>
        <v/>
      </c>
      <c r="D17" s="32">
        <f>'Rétroplanning'!H17</f>
        <v/>
      </c>
      <c r="E17" s="32">
        <f>'Rétroplanning'!I17</f>
        <v/>
      </c>
      <c r="F17" s="27">
        <f>'Rétroplanning'!K17</f>
        <v/>
      </c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</row>
    <row r="18" ht="43" customHeight="1">
      <c r="A18" s="28">
        <f>'Rétroplanning'!A18</f>
        <v/>
      </c>
      <c r="B18" s="28">
        <f>'Rétroplanning'!C18</f>
        <v/>
      </c>
      <c r="C18" s="28">
        <f>'Rétroplanning'!D18</f>
        <v/>
      </c>
      <c r="D18" s="31">
        <f>'Rétroplanning'!H18</f>
        <v/>
      </c>
      <c r="E18" s="31">
        <f>'Rétroplanning'!I18</f>
        <v/>
      </c>
      <c r="F18" s="28">
        <f>'Rétroplanning'!K18</f>
        <v/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</row>
    <row r="19" ht="43" customHeight="1">
      <c r="A19" s="27">
        <f>'Rétroplanning'!A19</f>
        <v/>
      </c>
      <c r="B19" s="27">
        <f>'Rétroplanning'!C19</f>
        <v/>
      </c>
      <c r="C19" s="27">
        <f>'Rétroplanning'!D19</f>
        <v/>
      </c>
      <c r="D19" s="32">
        <f>'Rétroplanning'!H19</f>
        <v/>
      </c>
      <c r="E19" s="32">
        <f>'Rétroplanning'!I19</f>
        <v/>
      </c>
      <c r="F19" s="27">
        <f>'Rétroplanning'!K19</f>
        <v/>
      </c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</row>
    <row r="20" ht="43" customHeight="1">
      <c r="A20" s="28">
        <f>'Rétroplanning'!A20</f>
        <v/>
      </c>
      <c r="B20" s="28">
        <f>'Rétroplanning'!C20</f>
        <v/>
      </c>
      <c r="C20" s="28">
        <f>'Rétroplanning'!D20</f>
        <v/>
      </c>
      <c r="D20" s="31">
        <f>'Rétroplanning'!H20</f>
        <v/>
      </c>
      <c r="E20" s="31">
        <f>'Rétroplanning'!I20</f>
        <v/>
      </c>
      <c r="F20" s="28">
        <f>'Rétroplanning'!K20</f>
        <v/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</row>
    <row r="21" ht="43" customHeight="1">
      <c r="A21" s="27">
        <f>'Rétroplanning'!A21</f>
        <v/>
      </c>
      <c r="B21" s="27">
        <f>'Rétroplanning'!C21</f>
        <v/>
      </c>
      <c r="C21" s="27">
        <f>'Rétroplanning'!D21</f>
        <v/>
      </c>
      <c r="D21" s="32">
        <f>'Rétroplanning'!H21</f>
        <v/>
      </c>
      <c r="E21" s="32">
        <f>'Rétroplanning'!I21</f>
        <v/>
      </c>
      <c r="F21" s="27">
        <f>'Rétroplanning'!K21</f>
        <v/>
      </c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</row>
    <row r="22" ht="43" customHeight="1">
      <c r="A22" s="28">
        <f>'Rétroplanning'!A22</f>
        <v/>
      </c>
      <c r="B22" s="28">
        <f>'Rétroplanning'!C22</f>
        <v/>
      </c>
      <c r="C22" s="28">
        <f>'Rétroplanning'!D22</f>
        <v/>
      </c>
      <c r="D22" s="31">
        <f>'Rétroplanning'!H22</f>
        <v/>
      </c>
      <c r="E22" s="31">
        <f>'Rétroplanning'!I22</f>
        <v/>
      </c>
      <c r="F22" s="28">
        <f>'Rétroplanning'!K22</f>
        <v/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</row>
    <row r="23" ht="43" customHeight="1">
      <c r="A23" s="27">
        <f>'Rétroplanning'!A23</f>
        <v/>
      </c>
      <c r="B23" s="27">
        <f>'Rétroplanning'!C23</f>
        <v/>
      </c>
      <c r="C23" s="27">
        <f>'Rétroplanning'!D23</f>
        <v/>
      </c>
      <c r="D23" s="32">
        <f>'Rétroplanning'!H23</f>
        <v/>
      </c>
      <c r="E23" s="32">
        <f>'Rétroplanning'!I23</f>
        <v/>
      </c>
      <c r="F23" s="27">
        <f>'Rétroplanning'!K23</f>
        <v/>
      </c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</row>
    <row r="24" ht="43" customHeight="1">
      <c r="A24" s="28">
        <f>'Rétroplanning'!A24</f>
        <v/>
      </c>
      <c r="B24" s="28">
        <f>'Rétroplanning'!C24</f>
        <v/>
      </c>
      <c r="C24" s="28">
        <f>'Rétroplanning'!D24</f>
        <v/>
      </c>
      <c r="D24" s="31">
        <f>'Rétroplanning'!H24</f>
        <v/>
      </c>
      <c r="E24" s="31">
        <f>'Rétroplanning'!I24</f>
        <v/>
      </c>
      <c r="F24" s="28">
        <f>'Rétroplanning'!K24</f>
        <v/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</row>
    <row r="25" ht="43" customHeight="1">
      <c r="A25" s="27">
        <f>'Rétroplanning'!A25</f>
        <v/>
      </c>
      <c r="B25" s="27">
        <f>'Rétroplanning'!C25</f>
        <v/>
      </c>
      <c r="C25" s="27">
        <f>'Rétroplanning'!D25</f>
        <v/>
      </c>
      <c r="D25" s="32">
        <f>'Rétroplanning'!H25</f>
        <v/>
      </c>
      <c r="E25" s="32">
        <f>'Rétroplanning'!I25</f>
        <v/>
      </c>
      <c r="F25" s="27">
        <f>'Rétroplanning'!K25</f>
        <v/>
      </c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</row>
    <row r="26" ht="43" customHeight="1">
      <c r="A26" s="28">
        <f>'Rétroplanning'!A26</f>
        <v/>
      </c>
      <c r="B26" s="28">
        <f>'Rétroplanning'!C26</f>
        <v/>
      </c>
      <c r="C26" s="28">
        <f>'Rétroplanning'!D26</f>
        <v/>
      </c>
      <c r="D26" s="31">
        <f>'Rétroplanning'!H26</f>
        <v/>
      </c>
      <c r="E26" s="31">
        <f>'Rétroplanning'!I26</f>
        <v/>
      </c>
      <c r="F26" s="28">
        <f>'Rétroplanning'!K26</f>
        <v/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</row>
    <row r="27" ht="43" customHeight="1">
      <c r="A27" s="27">
        <f>'Rétroplanning'!A27</f>
        <v/>
      </c>
      <c r="B27" s="27">
        <f>'Rétroplanning'!C27</f>
        <v/>
      </c>
      <c r="C27" s="27">
        <f>'Rétroplanning'!D27</f>
        <v/>
      </c>
      <c r="D27" s="32">
        <f>'Rétroplanning'!H27</f>
        <v/>
      </c>
      <c r="E27" s="32">
        <f>'Rétroplanning'!I27</f>
        <v/>
      </c>
      <c r="F27" s="27">
        <f>'Rétroplanning'!K27</f>
        <v/>
      </c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</row>
    <row r="28" ht="43" customHeight="1">
      <c r="A28" s="28">
        <f>'Rétroplanning'!A28</f>
        <v/>
      </c>
      <c r="B28" s="28">
        <f>'Rétroplanning'!C28</f>
        <v/>
      </c>
      <c r="C28" s="28">
        <f>'Rétroplanning'!D28</f>
        <v/>
      </c>
      <c r="D28" s="31">
        <f>'Rétroplanning'!H28</f>
        <v/>
      </c>
      <c r="E28" s="31">
        <f>'Rétroplanning'!I28</f>
        <v/>
      </c>
      <c r="F28" s="28">
        <f>'Rétroplanning'!K28</f>
        <v/>
      </c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</row>
    <row r="29" ht="43" customHeight="1">
      <c r="A29" s="27">
        <f>'Rétroplanning'!A29</f>
        <v/>
      </c>
      <c r="B29" s="27">
        <f>'Rétroplanning'!C29</f>
        <v/>
      </c>
      <c r="C29" s="27">
        <f>'Rétroplanning'!D29</f>
        <v/>
      </c>
      <c r="D29" s="32">
        <f>'Rétroplanning'!H29</f>
        <v/>
      </c>
      <c r="E29" s="32">
        <f>'Rétroplanning'!I29</f>
        <v/>
      </c>
      <c r="F29" s="27">
        <f>'Rétroplanning'!K29</f>
        <v/>
      </c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</row>
    <row r="30" ht="43" customHeight="1">
      <c r="A30" s="28">
        <f>'Rétroplanning'!A30</f>
        <v/>
      </c>
      <c r="B30" s="28">
        <f>'Rétroplanning'!C30</f>
        <v/>
      </c>
      <c r="C30" s="28">
        <f>'Rétroplanning'!D30</f>
        <v/>
      </c>
      <c r="D30" s="31">
        <f>'Rétroplanning'!H30</f>
        <v/>
      </c>
      <c r="E30" s="31">
        <f>'Rétroplanning'!I30</f>
        <v/>
      </c>
      <c r="F30" s="28">
        <f>'Rétroplanning'!K30</f>
        <v/>
      </c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</row>
    <row r="31" ht="43" customHeight="1">
      <c r="A31" s="27">
        <f>'Rétroplanning'!A31</f>
        <v/>
      </c>
      <c r="B31" s="27">
        <f>'Rétroplanning'!C31</f>
        <v/>
      </c>
      <c r="C31" s="27">
        <f>'Rétroplanning'!D31</f>
        <v/>
      </c>
      <c r="D31" s="32">
        <f>'Rétroplanning'!H31</f>
        <v/>
      </c>
      <c r="E31" s="32">
        <f>'Rétroplanning'!I31</f>
        <v/>
      </c>
      <c r="F31" s="27">
        <f>'Rétroplanning'!K31</f>
        <v/>
      </c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</row>
    <row r="32" ht="43" customHeight="1">
      <c r="A32" s="28">
        <f>'Rétroplanning'!A32</f>
        <v/>
      </c>
      <c r="B32" s="28">
        <f>'Rétroplanning'!C32</f>
        <v/>
      </c>
      <c r="C32" s="28">
        <f>'Rétroplanning'!D32</f>
        <v/>
      </c>
      <c r="D32" s="31">
        <f>'Rétroplanning'!H32</f>
        <v/>
      </c>
      <c r="E32" s="31">
        <f>'Rétroplanning'!I32</f>
        <v/>
      </c>
      <c r="F32" s="28">
        <f>'Rétroplanning'!K32</f>
        <v/>
      </c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</row>
    <row r="33" ht="43" customHeight="1">
      <c r="A33" s="27">
        <f>'Rétroplanning'!A33</f>
        <v/>
      </c>
      <c r="B33" s="27">
        <f>'Rétroplanning'!C33</f>
        <v/>
      </c>
      <c r="C33" s="27">
        <f>'Rétroplanning'!D33</f>
        <v/>
      </c>
      <c r="D33" s="32">
        <f>'Rétroplanning'!H33</f>
        <v/>
      </c>
      <c r="E33" s="32">
        <f>'Rétroplanning'!I33</f>
        <v/>
      </c>
      <c r="F33" s="27">
        <f>'Rétroplanning'!K33</f>
        <v/>
      </c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</row>
    <row r="34" ht="43" customHeight="1">
      <c r="A34" s="28">
        <f>'Rétroplanning'!A34</f>
        <v/>
      </c>
      <c r="B34" s="28">
        <f>'Rétroplanning'!C34</f>
        <v/>
      </c>
      <c r="C34" s="28">
        <f>'Rétroplanning'!D34</f>
        <v/>
      </c>
      <c r="D34" s="31">
        <f>'Rétroplanning'!H34</f>
        <v/>
      </c>
      <c r="E34" s="31">
        <f>'Rétroplanning'!I34</f>
        <v/>
      </c>
      <c r="F34" s="28">
        <f>'Rétroplanning'!K34</f>
        <v/>
      </c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</row>
    <row r="35" ht="43" customHeight="1">
      <c r="A35" s="27">
        <f>'Rétroplanning'!A35</f>
        <v/>
      </c>
      <c r="B35" s="27">
        <f>'Rétroplanning'!C35</f>
        <v/>
      </c>
      <c r="C35" s="27">
        <f>'Rétroplanning'!D35</f>
        <v/>
      </c>
      <c r="D35" s="32">
        <f>'Rétroplanning'!H35</f>
        <v/>
      </c>
      <c r="E35" s="32">
        <f>'Rétroplanning'!I35</f>
        <v/>
      </c>
      <c r="F35" s="27">
        <f>'Rétroplanning'!K35</f>
        <v/>
      </c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</row>
    <row r="36" ht="43" customHeight="1">
      <c r="A36" s="28">
        <f>'Rétroplanning'!A36</f>
        <v/>
      </c>
      <c r="B36" s="28">
        <f>'Rétroplanning'!C36</f>
        <v/>
      </c>
      <c r="C36" s="28">
        <f>'Rétroplanning'!D36</f>
        <v/>
      </c>
      <c r="D36" s="31">
        <f>'Rétroplanning'!H36</f>
        <v/>
      </c>
      <c r="E36" s="31">
        <f>'Rétroplanning'!I36</f>
        <v/>
      </c>
      <c r="F36" s="28">
        <f>'Rétroplanning'!K36</f>
        <v/>
      </c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</row>
    <row r="37" ht="43" customHeight="1">
      <c r="A37" s="27">
        <f>'Rétroplanning'!A37</f>
        <v/>
      </c>
      <c r="B37" s="27">
        <f>'Rétroplanning'!C37</f>
        <v/>
      </c>
      <c r="C37" s="27">
        <f>'Rétroplanning'!D37</f>
        <v/>
      </c>
      <c r="D37" s="32">
        <f>'Rétroplanning'!H37</f>
        <v/>
      </c>
      <c r="E37" s="32">
        <f>'Rétroplanning'!I37</f>
        <v/>
      </c>
      <c r="F37" s="27">
        <f>'Rétroplanning'!K37</f>
        <v/>
      </c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</row>
    <row r="38" ht="43" customHeight="1">
      <c r="A38" s="28">
        <f>'Rétroplanning'!A38</f>
        <v/>
      </c>
      <c r="B38" s="28">
        <f>'Rétroplanning'!C38</f>
        <v/>
      </c>
      <c r="C38" s="28">
        <f>'Rétroplanning'!D38</f>
        <v/>
      </c>
      <c r="D38" s="31">
        <f>'Rétroplanning'!H38</f>
        <v/>
      </c>
      <c r="E38" s="31">
        <f>'Rétroplanning'!I38</f>
        <v/>
      </c>
      <c r="F38" s="28">
        <f>'Rétroplanning'!K38</f>
        <v/>
      </c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</row>
  </sheetData>
  <autoFilter ref="A7:F38"/>
  <mergeCells count="2">
    <mergeCell ref="A1:P2"/>
    <mergeCell ref="A4:P5"/>
  </mergeCells>
  <conditionalFormatting sqref="G8:P38">
    <cfRule type="expression" priority="1" dxfId="3" stopIfTrue="1">
      <formula>AND(G$7&lt;=$E8,G$7+6&gt;=$D8,$F8="Terminé")</formula>
    </cfRule>
    <cfRule type="expression" priority="2" dxfId="4" stopIfTrue="1">
      <formula>AND(G$7&lt;=$E8,G$7+6&gt;=$D8,$F8="Bloqué")</formula>
    </cfRule>
    <cfRule type="expression" priority="3" dxfId="5">
      <formula>AND(G$7&lt;=$E8,G$7+6&gt;=$D8)</formula>
    </cfRule>
  </conditionalFormatting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3" customWidth="1" min="3" max="3"/>
    <col width="15" customWidth="1" min="4" max="4"/>
    <col width="33" customWidth="1" min="5" max="5"/>
    <col width="30" customWidth="1" min="6" max="6"/>
    <col width="50" customWidth="1" min="7" max="7"/>
    <col width="67" customWidth="1" min="8" max="8"/>
    <col width="27" customWidth="1" min="9" max="9"/>
  </cols>
  <sheetData>
    <row r="1" ht="24" customHeight="1">
      <c r="A1" s="1" t="inlineStr">
        <is>
          <t>07 / CONDUCTEUR DU JOUR J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/>
    <row r="4" ht="22" customHeight="1">
      <c r="A4" s="3" t="inlineStr">
        <is>
          <t>Horaire de référence envisagé · aucun intervenant confirmé · durée et enchaînement contrôlés par formule.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N°</t>
        </is>
      </c>
      <c r="B7" s="5" t="inlineStr">
        <is>
          <t>Début</t>
        </is>
      </c>
      <c r="C7" s="5" t="inlineStr">
        <is>
          <t>Fin</t>
        </is>
      </c>
      <c r="D7" s="5" t="inlineStr">
        <is>
          <t>Durée min</t>
        </is>
      </c>
      <c r="E7" s="5" t="inlineStr">
        <is>
          <t>Séquence</t>
        </is>
      </c>
      <c r="F7" s="5" t="inlineStr">
        <is>
          <t>Pilote proposé</t>
        </is>
      </c>
      <c r="G7" s="5" t="inlineStr">
        <is>
          <t>Préparation</t>
        </is>
      </c>
      <c r="H7" s="5" t="inlineStr">
        <is>
          <t>Vigilance / repli</t>
        </is>
      </c>
      <c r="I7" s="5" t="inlineStr">
        <is>
          <t>Contrôle horaire</t>
        </is>
      </c>
    </row>
    <row r="8" ht="43" customHeight="1">
      <c r="A8" s="18" t="n">
        <v>1</v>
      </c>
      <c r="B8" s="24" t="n">
        <v>0.6666666666666666</v>
      </c>
      <c r="C8" s="24" t="n">
        <v>0.6979166666666666</v>
      </c>
      <c r="D8" s="28">
        <f>ROUND((C8-B8)*1440,0)</f>
        <v/>
      </c>
      <c r="E8" s="18" t="inlineStr">
        <is>
          <t>Installation</t>
        </is>
      </c>
      <c r="F8" s="21" t="inlineStr">
        <is>
          <t>Logistique / régie</t>
        </is>
      </c>
      <c r="G8" s="21" t="inlineStr">
        <is>
          <t>Salle, flux, sonorisation, signalétique</t>
        </is>
      </c>
      <c r="H8" s="21" t="inlineStr">
        <is>
          <t>Vérifier accès, issues et capacité avec le lieu</t>
        </is>
      </c>
      <c r="I8" s="18" t="inlineStr">
        <is>
          <t>Début</t>
        </is>
      </c>
    </row>
    <row r="9" ht="43" customHeight="1">
      <c r="A9" s="20" t="n">
        <v>2</v>
      </c>
      <c r="B9" s="24" t="n">
        <v>0.6979166666666666</v>
      </c>
      <c r="C9" s="24" t="n">
        <v>0.71875</v>
      </c>
      <c r="D9" s="27">
        <f>ROUND((C9-B9)*1440,0)</f>
        <v/>
      </c>
      <c r="E9" s="20" t="inlineStr">
        <is>
          <t>Tests techniques</t>
        </is>
      </c>
      <c r="F9" s="21" t="inlineStr">
        <is>
          <t>Régie</t>
        </is>
      </c>
      <c r="G9" s="21" t="inlineStr">
        <is>
          <t>Micros, niveaux, présentation</t>
        </is>
      </c>
      <c r="H9" s="21" t="inlineStr">
        <is>
          <t>Tester le plan de secours sans projection</t>
        </is>
      </c>
      <c r="I9" s="27">
        <f>IF(B9=C8,"Continu",IF(B9&lt;C8,"Chevauchement","Intervalle"))</f>
        <v/>
      </c>
    </row>
    <row r="10" ht="43" customHeight="1">
      <c r="A10" s="18" t="n">
        <v>3</v>
      </c>
      <c r="B10" s="24" t="n">
        <v>0.71875</v>
      </c>
      <c r="C10" s="24" t="n">
        <v>0.7395833333333334</v>
      </c>
      <c r="D10" s="28">
        <f>ROUND((C10-B10)*1440,0)</f>
        <v/>
      </c>
      <c r="E10" s="18" t="inlineStr">
        <is>
          <t>Brief équipe</t>
        </is>
      </c>
      <c r="F10" s="21" t="inlineStr">
        <is>
          <t>Responsable projet</t>
        </is>
      </c>
      <c r="G10" s="21" t="inlineStr">
        <is>
          <t>Rôles, accueil, incidents, consentement</t>
        </is>
      </c>
      <c r="H10" s="21" t="inlineStr">
        <is>
          <t>Rappeler les responsables du lieu et les contacts</t>
        </is>
      </c>
      <c r="I10" s="28">
        <f>IF(B10=C9,"Continu",IF(B10&lt;C9,"Chevauchement","Intervalle"))</f>
        <v/>
      </c>
    </row>
    <row r="11" ht="43" customHeight="1">
      <c r="A11" s="20" t="n">
        <v>4</v>
      </c>
      <c r="B11" s="24" t="n">
        <v>0.7395833333333334</v>
      </c>
      <c r="C11" s="24" t="n">
        <v>0.7604166666666666</v>
      </c>
      <c r="D11" s="27">
        <f>ROUND((C11-B11)*1440,0)</f>
        <v/>
      </c>
      <c r="E11" s="20" t="inlineStr">
        <is>
          <t>Brief intervenants</t>
        </is>
      </c>
      <c r="F11" s="21" t="inlineStr">
        <is>
          <t>Éditorial / modération</t>
        </is>
      </c>
      <c r="G11" s="21" t="inlineStr">
        <is>
          <t>Fil conducteur et timing</t>
        </is>
      </c>
      <c r="H11" s="21" t="inlineStr">
        <is>
          <t>Confirmer les noms seulement après accord</t>
        </is>
      </c>
      <c r="I11" s="27">
        <f>IF(B11=C10,"Continu",IF(B11&lt;C10,"Chevauchement","Intervalle"))</f>
        <v/>
      </c>
    </row>
    <row r="12" ht="43" customHeight="1">
      <c r="A12" s="18" t="n">
        <v>5</v>
      </c>
      <c r="B12" s="24" t="n">
        <v>0.7604166666666666</v>
      </c>
      <c r="C12" s="24" t="n">
        <v>0.7708333333333334</v>
      </c>
      <c r="D12" s="28">
        <f>ROUND((C12-B12)*1440,0)</f>
        <v/>
      </c>
      <c r="E12" s="18" t="inlineStr">
        <is>
          <t>Mise en place accueil</t>
        </is>
      </c>
      <c r="F12" s="21" t="inlineStr">
        <is>
          <t>Accueil</t>
        </is>
      </c>
      <c r="G12" s="21" t="inlineStr">
        <is>
          <t>Liste, badges et supports</t>
        </is>
      </c>
      <c r="H12" s="21" t="inlineStr">
        <is>
          <t>Installer une file accessible et éviter l’affichage des coordonnées</t>
        </is>
      </c>
      <c r="I12" s="28">
        <f>IF(B12=C11,"Continu",IF(B12&lt;C11,"Chevauchement","Intervalle"))</f>
        <v/>
      </c>
    </row>
    <row r="13" ht="43" customHeight="1">
      <c r="A13" s="20" t="n">
        <v>6</v>
      </c>
      <c r="B13" s="24" t="n">
        <v>0.7708333333333334</v>
      </c>
      <c r="C13" s="24" t="n">
        <v>0.7916666666666666</v>
      </c>
      <c r="D13" s="27">
        <f>ROUND((C13-B13)*1440,0)</f>
        <v/>
      </c>
      <c r="E13" s="20" t="inlineStr">
        <is>
          <t>Accueil du public</t>
        </is>
      </c>
      <c r="F13" s="21" t="inlineStr">
        <is>
          <t>Accueil / logistique</t>
        </is>
      </c>
      <c r="G13" s="21" t="inlineStr">
        <is>
          <t>Orientation et installation</t>
        </is>
      </c>
      <c r="H13" s="21" t="inlineStr">
        <is>
          <t>Noter le nombre d’entrées, sans double comptage</t>
        </is>
      </c>
      <c r="I13" s="27">
        <f>IF(B13=C12,"Continu",IF(B13&lt;C12,"Chevauchement","Intervalle"))</f>
        <v/>
      </c>
    </row>
    <row r="14" ht="43" customHeight="1">
      <c r="A14" s="18" t="n">
        <v>7</v>
      </c>
      <c r="B14" s="24" t="n">
        <v>0.7916666666666666</v>
      </c>
      <c r="C14" s="24" t="n">
        <v>0.7986111111111112</v>
      </c>
      <c r="D14" s="28">
        <f>ROUND((C14-B14)*1440,0)</f>
        <v/>
      </c>
      <c r="E14" s="18" t="inlineStr">
        <is>
          <t>Ouverture</t>
        </is>
      </c>
      <c r="F14" s="21" t="inlineStr">
        <is>
          <t>Responsable projet / modération</t>
        </is>
      </c>
      <c r="G14" s="21" t="inlineStr">
        <is>
          <t>Intention et règles d’échange</t>
        </is>
      </c>
      <c r="H14" s="21" t="inlineStr">
        <is>
          <t>Présenter les intervenants confirmés</t>
        </is>
      </c>
      <c r="I14" s="28">
        <f>IF(B14=C13,"Continu",IF(B14&lt;C13,"Chevauchement","Intervalle"))</f>
        <v/>
      </c>
    </row>
    <row r="15" ht="43" customHeight="1">
      <c r="A15" s="20" t="n">
        <v>8</v>
      </c>
      <c r="B15" s="24" t="n">
        <v>0.7986111111111112</v>
      </c>
      <c r="C15" s="24" t="n">
        <v>0.8229166666666666</v>
      </c>
      <c r="D15" s="27">
        <f>ROUND((C15-B15)*1440,0)</f>
        <v/>
      </c>
      <c r="E15" s="20" t="inlineStr">
        <is>
          <t>Table ronde</t>
        </is>
      </c>
      <c r="F15" s="21" t="inlineStr">
        <is>
          <t>Modération + deux intervenants</t>
        </is>
      </c>
      <c r="G15" s="21" t="inlineStr">
        <is>
          <t>Réseaux sociaux, sources et IA</t>
        </is>
      </c>
      <c r="H15" s="21" t="inlineStr">
        <is>
          <t>Limiter les prises de parole et distinguer faits et opinions</t>
        </is>
      </c>
      <c r="I15" s="27">
        <f>IF(B15=C14,"Continu",IF(B15&lt;C14,"Chevauchement","Intervalle"))</f>
        <v/>
      </c>
    </row>
    <row r="16" ht="43" customHeight="1">
      <c r="A16" s="18" t="n">
        <v>9</v>
      </c>
      <c r="B16" s="24" t="n">
        <v>0.8229166666666666</v>
      </c>
      <c r="C16" s="24" t="n">
        <v>0.8402777777777778</v>
      </c>
      <c r="D16" s="28">
        <f>ROUND((C16-B16)*1440,0)</f>
        <v/>
      </c>
      <c r="E16" s="18" t="inlineStr">
        <is>
          <t>Questions du public</t>
        </is>
      </c>
      <c r="F16" s="21" t="inlineStr">
        <is>
          <t>Modération</t>
        </is>
      </c>
      <c r="G16" s="21" t="inlineStr">
        <is>
          <t>Questions regroupées par thème</t>
        </is>
      </c>
      <c r="H16" s="21" t="inlineStr">
        <is>
          <t>Faire circuler le micro de façon inclusive</t>
        </is>
      </c>
      <c r="I16" s="28">
        <f>IF(B16=C15,"Continu",IF(B16&lt;C15,"Chevauchement","Intervalle"))</f>
        <v/>
      </c>
    </row>
    <row r="17" ht="43" customHeight="1">
      <c r="A17" s="20" t="n">
        <v>10</v>
      </c>
      <c r="B17" s="24" t="n">
        <v>0.8402777777777778</v>
      </c>
      <c r="C17" s="24" t="n">
        <v>0.8506944444444444</v>
      </c>
      <c r="D17" s="27">
        <f>ROUND((C17-B17)*1440,0)</f>
        <v/>
      </c>
      <c r="E17" s="20" t="inlineStr">
        <is>
          <t>Pause</t>
        </is>
      </c>
      <c r="F17" s="21" t="inlineStr">
        <is>
          <t>Logistique</t>
        </is>
      </c>
      <c r="G17" s="21" t="inlineStr">
        <is>
          <t>Collation et échanges</t>
        </is>
      </c>
      <c r="H17" s="21" t="inlineStr">
        <is>
          <t>Réduire déchets et congestion</t>
        </is>
      </c>
      <c r="I17" s="27">
        <f>IF(B17=C16,"Continu",IF(B17&lt;C16,"Chevauchement","Intervalle"))</f>
        <v/>
      </c>
    </row>
    <row r="18" ht="43" customHeight="1">
      <c r="A18" s="18" t="n">
        <v>11</v>
      </c>
      <c r="B18" s="24" t="n">
        <v>0.8506944444444444</v>
      </c>
      <c r="C18" s="24" t="n">
        <v>0.8715277777777778</v>
      </c>
      <c r="D18" s="28">
        <f>ROUND((C18-B18)*1440,0)</f>
        <v/>
      </c>
      <c r="E18" s="18" t="inlineStr">
        <is>
          <t>Atelier collectif</t>
        </is>
      </c>
      <c r="F18" s="21" t="inlineStr">
        <is>
          <t>Modération / éditorial</t>
        </is>
      </c>
      <c r="G18" s="21" t="inlineStr">
        <is>
          <t>Examiner une information et ses sources</t>
        </is>
      </c>
      <c r="H18" s="21" t="inlineStr">
        <is>
          <t>Utiliser un exemple documenté, sans exposer de données personnelles</t>
        </is>
      </c>
      <c r="I18" s="28">
        <f>IF(B18=C17,"Continu",IF(B18&lt;C17,"Chevauchement","Intervalle"))</f>
        <v/>
      </c>
    </row>
    <row r="19" ht="43" customHeight="1">
      <c r="A19" s="20" t="n">
        <v>12</v>
      </c>
      <c r="B19" s="24" t="n">
        <v>0.8715277777777778</v>
      </c>
      <c r="C19" s="24" t="n">
        <v>0.8784722222222222</v>
      </c>
      <c r="D19" s="27">
        <f>ROUND((C19-B19)*1440,0)</f>
        <v/>
      </c>
      <c r="E19" s="20" t="inlineStr">
        <is>
          <t>Synthèse</t>
        </is>
      </c>
      <c r="F19" s="21" t="inlineStr">
        <is>
          <t>Modération</t>
        </is>
      </c>
      <c r="G19" s="21" t="inlineStr">
        <is>
          <t>Trois repères pratiques et ressources</t>
        </is>
      </c>
      <c r="H19" s="21" t="inlineStr">
        <is>
          <t>Indiquer comment retrouver les ressources</t>
        </is>
      </c>
      <c r="I19" s="27">
        <f>IF(B19=C18,"Continu",IF(B19&lt;C18,"Chevauchement","Intervalle"))</f>
        <v/>
      </c>
    </row>
    <row r="20" ht="43" customHeight="1">
      <c r="A20" s="18" t="n">
        <v>13</v>
      </c>
      <c r="B20" s="24" t="n">
        <v>0.8784722222222222</v>
      </c>
      <c r="C20" s="24" t="n">
        <v>0.8958333333333334</v>
      </c>
      <c r="D20" s="28">
        <f>ROUND((C20-B20)*1440,0)</f>
        <v/>
      </c>
      <c r="E20" s="18" t="inlineStr">
        <is>
          <t>Échanges informels</t>
        </is>
      </c>
      <c r="F20" s="21" t="inlineStr">
        <is>
          <t>Équipe complète</t>
        </is>
      </c>
      <c r="G20" s="21" t="inlineStr">
        <is>
          <t>Rencontres et retours</t>
        </is>
      </c>
      <c r="H20" s="21" t="inlineStr">
        <is>
          <t>Veiller à l’horaire et aux participants ayant besoin d’aide</t>
        </is>
      </c>
      <c r="I20" s="28">
        <f>IF(B20=C19,"Continu",IF(B20&lt;C19,"Chevauchement","Intervalle"))</f>
        <v/>
      </c>
    </row>
    <row r="21" ht="43" customHeight="1">
      <c r="A21" s="20" t="n">
        <v>14</v>
      </c>
      <c r="B21" s="24" t="n">
        <v>0.8958333333333334</v>
      </c>
      <c r="C21" s="24" t="n">
        <v>0.90625</v>
      </c>
      <c r="D21" s="27">
        <f>ROUND((C21-B21)*1440,0)</f>
        <v/>
      </c>
      <c r="E21" s="20" t="inlineStr">
        <is>
          <t>Sortie et remise en état</t>
        </is>
      </c>
      <c r="F21" s="21" t="inlineStr">
        <is>
          <t>Logistique / régie</t>
        </is>
      </c>
      <c r="G21" s="21" t="inlineStr">
        <is>
          <t>Rangement et restitution</t>
        </is>
      </c>
      <c r="H21" s="21" t="inlineStr">
        <is>
          <t>Vérifier salle, matériel et objets trouvés</t>
        </is>
      </c>
      <c r="I21" s="27">
        <f>IF(B21=C20,"Continu",IF(B21&lt;C20,"Chevauchement","Intervalle"))</f>
        <v/>
      </c>
    </row>
  </sheetData>
  <autoFilter ref="A7:I21"/>
  <mergeCells count="2">
    <mergeCell ref="A1:I2"/>
    <mergeCell ref="A4:I5"/>
  </mergeCell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3" customWidth="1" min="2" max="2"/>
    <col width="20" customWidth="1" min="3" max="3"/>
    <col width="23" customWidth="1" min="4" max="4"/>
    <col width="21" customWidth="1" min="5" max="5"/>
    <col width="20" customWidth="1" min="6" max="6"/>
    <col width="32" customWidth="1" min="7" max="7"/>
  </cols>
  <sheetData>
    <row r="1" ht="24" customHeight="1">
      <c r="A1" s="1" t="inlineStr">
        <is>
          <t>08 / RÉPARTITION DES RESPONSABILITÉS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</row>
    <row r="3"/>
    <row r="4" ht="22" customHeight="1">
      <c r="A4" s="3" t="inlineStr">
        <is>
          <t>A = arbitrage (un seul par ligne), R = réalise, C = consulté, I = informé. Rôles proposés à attribuer à l’équipe.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Action</t>
        </is>
      </c>
      <c r="B7" s="5" t="inlineStr">
        <is>
          <t>Responsable projet</t>
        </is>
      </c>
      <c r="C7" s="5" t="inlineStr">
        <is>
          <t>Éditorial</t>
        </is>
      </c>
      <c r="D7" s="5" t="inlineStr">
        <is>
          <t>Communication</t>
        </is>
      </c>
      <c r="E7" s="5" t="inlineStr">
        <is>
          <t>Logistique</t>
        </is>
      </c>
      <c r="F7" s="5" t="inlineStr">
        <is>
          <t>Accueil</t>
        </is>
      </c>
      <c r="G7" s="5" t="inlineStr">
        <is>
          <t>Contrôle A</t>
        </is>
      </c>
    </row>
    <row r="8" ht="43" customHeight="1">
      <c r="A8" s="18" t="inlineStr">
        <is>
          <t>Concept et budget</t>
        </is>
      </c>
      <c r="B8" s="21" t="inlineStr">
        <is>
          <t>A/R</t>
        </is>
      </c>
      <c r="C8" s="21" t="inlineStr">
        <is>
          <t>C</t>
        </is>
      </c>
      <c r="D8" s="21" t="inlineStr">
        <is>
          <t>C</t>
        </is>
      </c>
      <c r="E8" s="21" t="inlineStr">
        <is>
          <t>C</t>
        </is>
      </c>
      <c r="F8" s="21" t="inlineStr">
        <is>
          <t>I</t>
        </is>
      </c>
      <c r="G8" s="28">
        <f>IF(COUNTIF(B8:F8,"*A*")=1,"Un arbitrage identifié","Revoir responsabilité A")</f>
        <v/>
      </c>
    </row>
    <row r="9" ht="43" customHeight="1">
      <c r="A9" s="20" t="inlineStr">
        <is>
          <t>Programme et intervenants</t>
        </is>
      </c>
      <c r="B9" s="21" t="inlineStr">
        <is>
          <t>A</t>
        </is>
      </c>
      <c r="C9" s="21" t="inlineStr">
        <is>
          <t>R</t>
        </is>
      </c>
      <c r="D9" s="21" t="inlineStr">
        <is>
          <t>C</t>
        </is>
      </c>
      <c r="E9" s="21" t="inlineStr">
        <is>
          <t>I</t>
        </is>
      </c>
      <c r="F9" s="21" t="inlineStr">
        <is>
          <t>I</t>
        </is>
      </c>
      <c r="G9" s="27">
        <f>IF(COUNTIF(B9:F9,"*A*")=1,"Un arbitrage identifié","Revoir responsabilité A")</f>
        <v/>
      </c>
    </row>
    <row r="10" ht="43" customHeight="1">
      <c r="A10" s="18" t="inlineStr">
        <is>
          <t>Lieu et technique</t>
        </is>
      </c>
      <c r="B10" s="21" t="inlineStr">
        <is>
          <t>A</t>
        </is>
      </c>
      <c r="C10" s="21" t="inlineStr">
        <is>
          <t>C</t>
        </is>
      </c>
      <c r="D10" s="21" t="inlineStr">
        <is>
          <t>I</t>
        </is>
      </c>
      <c r="E10" s="21" t="inlineStr">
        <is>
          <t>R</t>
        </is>
      </c>
      <c r="F10" s="21" t="inlineStr">
        <is>
          <t>C</t>
        </is>
      </c>
      <c r="G10" s="28">
        <f>IF(COUNTIF(B10:F10,"*A*")=1,"Un arbitrage identifié","Revoir responsabilité A")</f>
        <v/>
      </c>
    </row>
    <row r="11" ht="43" customHeight="1">
      <c r="A11" s="20" t="inlineStr">
        <is>
          <t>Supports et diffusion</t>
        </is>
      </c>
      <c r="B11" s="21" t="inlineStr">
        <is>
          <t>A</t>
        </is>
      </c>
      <c r="C11" s="21" t="inlineStr">
        <is>
          <t>C</t>
        </is>
      </c>
      <c r="D11" s="21" t="inlineStr">
        <is>
          <t>R</t>
        </is>
      </c>
      <c r="E11" s="21" t="inlineStr">
        <is>
          <t>C</t>
        </is>
      </c>
      <c r="F11" s="21" t="inlineStr">
        <is>
          <t>I</t>
        </is>
      </c>
      <c r="G11" s="27">
        <f>IF(COUNTIF(B11:F11,"*A*")=1,"Un arbitrage identifié","Revoir responsabilité A")</f>
        <v/>
      </c>
    </row>
    <row r="12" ht="43" customHeight="1">
      <c r="A12" s="18" t="inlineStr">
        <is>
          <t>Inscriptions et accueil</t>
        </is>
      </c>
      <c r="B12" s="21" t="inlineStr">
        <is>
          <t>A</t>
        </is>
      </c>
      <c r="C12" s="21" t="inlineStr">
        <is>
          <t>I</t>
        </is>
      </c>
      <c r="D12" s="21" t="inlineStr">
        <is>
          <t>C</t>
        </is>
      </c>
      <c r="E12" s="21" t="inlineStr">
        <is>
          <t>C</t>
        </is>
      </c>
      <c r="F12" s="21" t="inlineStr">
        <is>
          <t>R</t>
        </is>
      </c>
      <c r="G12" s="28">
        <f>IF(COUNTIF(B12:F12,"*A*")=1,"Un arbitrage identifié","Revoir responsabilité A")</f>
        <v/>
      </c>
    </row>
    <row r="13" ht="43" customHeight="1">
      <c r="A13" s="20" t="inlineStr">
        <is>
          <t>Déroulé et brief équipe</t>
        </is>
      </c>
      <c r="B13" s="21" t="inlineStr">
        <is>
          <t>A/R</t>
        </is>
      </c>
      <c r="C13" s="21" t="inlineStr">
        <is>
          <t>C</t>
        </is>
      </c>
      <c r="D13" s="21" t="inlineStr">
        <is>
          <t>C</t>
        </is>
      </c>
      <c r="E13" s="21" t="inlineStr">
        <is>
          <t>C</t>
        </is>
      </c>
      <c r="F13" s="21" t="inlineStr">
        <is>
          <t>C</t>
        </is>
      </c>
      <c r="G13" s="27">
        <f>IF(COUNTIF(B13:F13,"*A*")=1,"Un arbitrage identifié","Revoir responsabilité A")</f>
        <v/>
      </c>
    </row>
    <row r="14" ht="43" customHeight="1">
      <c r="A14" s="18" t="inlineStr">
        <is>
          <t>Bilan et suivi</t>
        </is>
      </c>
      <c r="B14" s="21" t="inlineStr">
        <is>
          <t>A</t>
        </is>
      </c>
      <c r="C14" s="21" t="inlineStr">
        <is>
          <t>C</t>
        </is>
      </c>
      <c r="D14" s="21" t="inlineStr">
        <is>
          <t>R</t>
        </is>
      </c>
      <c r="E14" s="21" t="inlineStr">
        <is>
          <t>C</t>
        </is>
      </c>
      <c r="F14" s="21" t="inlineStr">
        <is>
          <t>C</t>
        </is>
      </c>
      <c r="G14" s="28">
        <f>IF(COUNTIF(B14:F14,"*A*")=1,"Un arbitrage identifié","Revoir responsabilité A")</f>
        <v/>
      </c>
    </row>
  </sheetData>
  <autoFilter ref="A7:G14"/>
  <mergeCells count="2">
    <mergeCell ref="A4:G5"/>
    <mergeCell ref="A1:G2"/>
  </mergeCells>
  <dataValidations count="5">
    <dataValidation sqref="B8:B14" showDropDown="0" showInputMessage="0" showErrorMessage="1" allowBlank="1" errorTitle="Valeur à vérifier" error="Utilisez une valeur autorisée." type="list" errorStyle="stop">
      <formula1>"A,R,C,I,A/R"</formula1>
    </dataValidation>
    <dataValidation sqref="C8:C14" showDropDown="0" showInputMessage="0" showErrorMessage="1" allowBlank="1" errorTitle="Valeur à vérifier" error="Utilisez une valeur autorisée." type="list" errorStyle="stop">
      <formula1>"A,R,C,I,A/R"</formula1>
    </dataValidation>
    <dataValidation sqref="D8:D14" showDropDown="0" showInputMessage="0" showErrorMessage="1" allowBlank="1" errorTitle="Valeur à vérifier" error="Utilisez une valeur autorisée." type="list" errorStyle="stop">
      <formula1>"A,R,C,I,A/R"</formula1>
    </dataValidation>
    <dataValidation sqref="E8:E14" showDropDown="0" showInputMessage="0" showErrorMessage="1" allowBlank="1" errorTitle="Valeur à vérifier" error="Utilisez une valeur autorisée." type="list" errorStyle="stop">
      <formula1>"A,R,C,I,A/R"</formula1>
    </dataValidation>
    <dataValidation sqref="F8:F14" showDropDown="0" showInputMessage="0" showErrorMessage="1" allowBlank="1" errorTitle="Valeur à vérifier" error="Utilisez une valeur autorisée." type="list" errorStyle="stop">
      <formula1>"A,R,C,I,A/R"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23" customWidth="1" min="4" max="4"/>
    <col width="42" customWidth="1" min="5" max="5"/>
    <col width="29" customWidth="1" min="6" max="6"/>
    <col width="48" customWidth="1" min="7" max="7"/>
    <col width="23" customWidth="1" min="8" max="8"/>
    <col width="22" customWidth="1" min="9" max="9"/>
    <col width="47" customWidth="1" min="10" max="10"/>
  </cols>
  <sheetData>
    <row r="1" ht="24" customHeight="1">
      <c r="A1" s="1" t="inlineStr">
        <is>
          <t>09 / PLAN DE COMMUNICATION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/>
    <row r="4" ht="22" customHeight="1">
      <c r="A4" s="3" t="inlineStr">
        <is>
          <t>Diffusion conditionnée à la validation du lieu, de la date, des intervenants et du parcours d’inscription.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</t>
        </is>
      </c>
      <c r="B7" s="5" t="inlineStr">
        <is>
          <t>Échéance J±</t>
        </is>
      </c>
      <c r="C7" s="5" t="inlineStr">
        <is>
          <t>Date calculée</t>
        </is>
      </c>
      <c r="D7" s="5" t="inlineStr">
        <is>
          <t>Canal</t>
        </is>
      </c>
      <c r="E7" s="5" t="inlineStr">
        <is>
          <t>Support</t>
        </is>
      </c>
      <c r="F7" s="5" t="inlineStr">
        <is>
          <t>Public</t>
        </is>
      </c>
      <c r="G7" s="5" t="inlineStr">
        <is>
          <t>Objectif</t>
        </is>
      </c>
      <c r="H7" s="5" t="inlineStr">
        <is>
          <t>Pilote</t>
        </is>
      </c>
      <c r="I7" s="5" t="inlineStr">
        <is>
          <t>Statut</t>
        </is>
      </c>
      <c r="J7" s="5" t="inlineStr">
        <is>
          <t>URL / preuve de diffusion</t>
        </is>
      </c>
    </row>
    <row r="8" ht="43" customHeight="1">
      <c r="A8" s="18" t="inlineStr">
        <is>
          <t>C1</t>
        </is>
      </c>
      <c r="B8" s="21" t="n">
        <v>-28</v>
      </c>
      <c r="C8" s="31">
        <f>'Paramètres'!$B$8+B8</f>
        <v/>
      </c>
      <c r="D8" s="21" t="inlineStr">
        <is>
          <t>Page web</t>
        </is>
      </c>
      <c r="E8" s="21" t="inlineStr">
        <is>
          <t>Annonce et inscription</t>
        </is>
      </c>
      <c r="F8" s="21" t="inlineStr">
        <is>
          <t>Public cible</t>
        </is>
      </c>
      <c r="G8" s="21" t="inlineStr">
        <is>
          <t>Donner des informations confirmées</t>
        </is>
      </c>
      <c r="H8" s="21" t="inlineStr">
        <is>
          <t>Communication</t>
        </is>
      </c>
      <c r="I8" s="21" t="inlineStr">
        <is>
          <t>À faire</t>
        </is>
      </c>
      <c r="J8" s="21" t="n"/>
    </row>
    <row r="9" ht="43" customHeight="1">
      <c r="A9" s="20" t="inlineStr">
        <is>
          <t>C2</t>
        </is>
      </c>
      <c r="B9" s="21" t="n">
        <v>-28</v>
      </c>
      <c r="C9" s="32">
        <f>'Paramètres'!$B$8+B9</f>
        <v/>
      </c>
      <c r="D9" s="21" t="inlineStr">
        <is>
          <t>E-mail</t>
        </is>
      </c>
      <c r="E9" s="21" t="inlineStr">
        <is>
          <t>Invitation A5 et message</t>
        </is>
      </c>
      <c r="F9" s="21" t="inlineStr">
        <is>
          <t>Lecteurs intéressés</t>
        </is>
      </c>
      <c r="G9" s="21" t="inlineStr">
        <is>
          <t>Inviter après ouverture</t>
        </is>
      </c>
      <c r="H9" s="21" t="inlineStr">
        <is>
          <t>Communication</t>
        </is>
      </c>
      <c r="I9" s="21" t="inlineStr">
        <is>
          <t>À faire</t>
        </is>
      </c>
      <c r="J9" s="21" t="n"/>
    </row>
    <row r="10" ht="43" customHeight="1">
      <c r="A10" s="18" t="inlineStr">
        <is>
          <t>C3</t>
        </is>
      </c>
      <c r="B10" s="21" t="n">
        <v>-21</v>
      </c>
      <c r="C10" s="31">
        <f>'Paramètres'!$B$8+B10</f>
        <v/>
      </c>
      <c r="D10" s="21" t="inlineStr">
        <is>
          <t>Relais</t>
        </is>
      </c>
      <c r="E10" s="21" t="inlineStr">
        <is>
          <t>Kit de partage</t>
        </is>
      </c>
      <c r="F10" s="21" t="inlineStr">
        <is>
          <t>Associations et étudiants</t>
        </is>
      </c>
      <c r="G10" s="21" t="inlineStr">
        <is>
          <t>Faire connaître le rendez-vous</t>
        </is>
      </c>
      <c r="H10" s="21" t="inlineStr">
        <is>
          <t>Communication</t>
        </is>
      </c>
      <c r="I10" s="21" t="inlineStr">
        <is>
          <t>À faire</t>
        </is>
      </c>
      <c r="J10" s="21" t="n"/>
    </row>
    <row r="11" ht="43" customHeight="1">
      <c r="A11" s="20" t="inlineStr">
        <is>
          <t>C4</t>
        </is>
      </c>
      <c r="B11" s="21" t="n">
        <v>-21</v>
      </c>
      <c r="C11" s="32">
        <f>'Paramètres'!$B$8+B11</f>
        <v/>
      </c>
      <c r="D11" s="21" t="inlineStr">
        <is>
          <t>Réseaux sociaux</t>
        </is>
      </c>
      <c r="E11" s="21" t="inlineStr">
        <is>
          <t>Affiche A3 adaptée</t>
        </is>
      </c>
      <c r="F11" s="21" t="inlineStr">
        <is>
          <t>Abonnés</t>
        </is>
      </c>
      <c r="G11" s="21" t="inlineStr">
        <is>
          <t>Présenter le sujet</t>
        </is>
      </c>
      <c r="H11" s="21" t="inlineStr">
        <is>
          <t>Communication</t>
        </is>
      </c>
      <c r="I11" s="21" t="inlineStr">
        <is>
          <t>À faire</t>
        </is>
      </c>
      <c r="J11" s="21" t="n"/>
    </row>
    <row r="12" ht="43" customHeight="1">
      <c r="A12" s="18" t="inlineStr">
        <is>
          <t>C5</t>
        </is>
      </c>
      <c r="B12" s="21" t="n">
        <v>-14</v>
      </c>
      <c r="C12" s="31">
        <f>'Paramètres'!$B$8+B12</f>
        <v/>
      </c>
      <c r="D12" s="21" t="inlineStr">
        <is>
          <t>Réseaux / page</t>
        </is>
      </c>
      <c r="E12" s="21" t="inlineStr">
        <is>
          <t>Programme confirmé</t>
        </is>
      </c>
      <c r="F12" s="21" t="inlineStr">
        <is>
          <t>Public cible</t>
        </is>
      </c>
      <c r="G12" s="21" t="inlineStr">
        <is>
          <t>Valoriser le format</t>
        </is>
      </c>
      <c r="H12" s="21" t="inlineStr">
        <is>
          <t>Communication</t>
        </is>
      </c>
      <c r="I12" s="21" t="inlineStr">
        <is>
          <t>À faire</t>
        </is>
      </c>
      <c r="J12" s="21" t="n"/>
    </row>
    <row r="13" ht="43" customHeight="1">
      <c r="A13" s="20" t="inlineStr">
        <is>
          <t>C6</t>
        </is>
      </c>
      <c r="B13" s="21" t="n">
        <v>-7</v>
      </c>
      <c r="C13" s="32">
        <f>'Paramètres'!$B$8+B13</f>
        <v/>
      </c>
      <c r="D13" s="21" t="inlineStr">
        <is>
          <t>Page web</t>
        </is>
      </c>
      <c r="E13" s="21" t="inlineStr">
        <is>
          <t>Accès et informations pratiques</t>
        </is>
      </c>
      <c r="F13" s="21" t="inlineStr">
        <is>
          <t>Inscrits</t>
        </is>
      </c>
      <c r="G13" s="21" t="inlineStr">
        <is>
          <t>Faciliter la venue</t>
        </is>
      </c>
      <c r="H13" s="21" t="inlineStr">
        <is>
          <t>Communication</t>
        </is>
      </c>
      <c r="I13" s="21" t="inlineStr">
        <is>
          <t>À faire</t>
        </is>
      </c>
      <c r="J13" s="21" t="n"/>
    </row>
    <row r="14" ht="43" customHeight="1">
      <c r="A14" s="18" t="inlineStr">
        <is>
          <t>C7</t>
        </is>
      </c>
      <c r="B14" s="21" t="n">
        <v>-2</v>
      </c>
      <c r="C14" s="31">
        <f>'Paramètres'!$B$8+B14</f>
        <v/>
      </c>
      <c r="D14" s="21" t="inlineStr">
        <is>
          <t>E-mail</t>
        </is>
      </c>
      <c r="E14" s="21" t="inlineStr">
        <is>
          <t>Rappel et désistement</t>
        </is>
      </c>
      <c r="F14" s="21" t="inlineStr">
        <is>
          <t>Inscrits</t>
        </is>
      </c>
      <c r="G14" s="21" t="inlineStr">
        <is>
          <t>Confirmer / libérer les places</t>
        </is>
      </c>
      <c r="H14" s="21" t="inlineStr">
        <is>
          <t>Communication</t>
        </is>
      </c>
      <c r="I14" s="21" t="inlineStr">
        <is>
          <t>À faire</t>
        </is>
      </c>
      <c r="J14" s="21" t="n"/>
    </row>
    <row r="15" ht="43" customHeight="1">
      <c r="A15" s="20" t="inlineStr">
        <is>
          <t>C8</t>
        </is>
      </c>
      <c r="B15" s="21" t="n">
        <v>1</v>
      </c>
      <c r="C15" s="32">
        <f>'Paramètres'!$B$8+B15</f>
        <v/>
      </c>
      <c r="D15" s="21" t="inlineStr">
        <is>
          <t>E-mail</t>
        </is>
      </c>
      <c r="E15" s="21" t="inlineStr">
        <is>
          <t>Remerciement et ressources</t>
        </is>
      </c>
      <c r="F15" s="21" t="inlineStr">
        <is>
          <t>Participants</t>
        </is>
      </c>
      <c r="G15" s="21" t="inlineStr">
        <is>
          <t>Prolonger les échanges</t>
        </is>
      </c>
      <c r="H15" s="21" t="inlineStr">
        <is>
          <t>Communication</t>
        </is>
      </c>
      <c r="I15" s="21" t="inlineStr">
        <is>
          <t>À faire</t>
        </is>
      </c>
      <c r="J15" s="21" t="n"/>
    </row>
    <row r="16" ht="43" customHeight="1">
      <c r="A16" s="18" t="inlineStr">
        <is>
          <t>C9</t>
        </is>
      </c>
      <c r="B16" s="21" t="n">
        <v>3</v>
      </c>
      <c r="C16" s="31">
        <f>'Paramètres'!$B$8+B16</f>
        <v/>
      </c>
      <c r="D16" s="21" t="inlineStr">
        <is>
          <t>E-mail</t>
        </is>
      </c>
      <c r="E16" s="21" t="inlineStr">
        <is>
          <t>Questionnaire facultatif</t>
        </is>
      </c>
      <c r="F16" s="21" t="inlineStr">
        <is>
          <t>Participants contactés</t>
        </is>
      </c>
      <c r="G16" s="21" t="inlineStr">
        <is>
          <t>Recueillir les retours</t>
        </is>
      </c>
      <c r="H16" s="21" t="inlineStr">
        <is>
          <t>Communication</t>
        </is>
      </c>
      <c r="I16" s="21" t="inlineStr">
        <is>
          <t>À faire</t>
        </is>
      </c>
      <c r="J16" s="21" t="n"/>
    </row>
    <row r="17" ht="43" customHeight="1">
      <c r="A17" s="20" t="inlineStr">
        <is>
          <t>C10</t>
        </is>
      </c>
      <c r="B17" s="21" t="n">
        <v>7</v>
      </c>
      <c r="C17" s="32">
        <f>'Paramètres'!$B$8+B17</f>
        <v/>
      </c>
      <c r="D17" s="21" t="inlineStr">
        <is>
          <t>Interne</t>
        </is>
      </c>
      <c r="E17" s="21" t="inlineStr">
        <is>
          <t>Bilan factuel</t>
        </is>
      </c>
      <c r="F17" s="21" t="inlineStr">
        <is>
          <t>Équipe</t>
        </is>
      </c>
      <c r="G17" s="21" t="inlineStr">
        <is>
          <t>Décider les suites</t>
        </is>
      </c>
      <c r="H17" s="21" t="inlineStr">
        <is>
          <t>Communication</t>
        </is>
      </c>
      <c r="I17" s="21" t="inlineStr">
        <is>
          <t>À faire</t>
        </is>
      </c>
      <c r="J17" s="21" t="n"/>
    </row>
  </sheetData>
  <autoFilter ref="A7:J17"/>
  <mergeCells count="2">
    <mergeCell ref="A1:J2"/>
    <mergeCell ref="A4:J5"/>
  </mergeCells>
  <conditionalFormatting sqref="I8:I17">
    <cfRule type="expression" priority="1" dxfId="1">
      <formula>I8="Terminé"</formula>
    </cfRule>
    <cfRule type="expression" priority="2" dxfId="2">
      <formula>I8="Bloqué"</formula>
    </cfRule>
  </conditionalFormatting>
  <dataValidations count="1">
    <dataValidation sqref="I8:I17" showDropDown="0" showInputMessage="0" showErrorMessage="1" allowBlank="1" errorTitle="Valeur à vérifier" error="Utilisez une valeur autorisée." type="list" errorStyle="stop">
      <formula1>Statuts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43" customWidth="1" min="3" max="3"/>
    <col width="33" customWidth="1" min="4" max="4"/>
    <col width="34" customWidth="1" min="5" max="5"/>
    <col width="45" customWidth="1" min="6" max="6"/>
    <col width="23" customWidth="1" min="7" max="7"/>
    <col width="48" customWidth="1" min="8" max="8"/>
    <col width="19" customWidth="1" min="9" max="9"/>
    <col width="38" customWidth="1" min="10" max="10"/>
  </cols>
  <sheetData>
    <row r="1" ht="24" customHeight="1">
      <c r="A1" s="1" t="inlineStr">
        <is>
          <t>10 / RELAIS ET PARTENAIRES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/>
    <row r="4" ht="22" customHeight="1">
      <c r="A4" s="3" t="inlineStr">
        <is>
          <t>Pistes par type de structure ; aucun nom, contact ni accord inventé. Une proposition concrète doit être documentée.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</t>
        </is>
      </c>
      <c r="B7" s="5" t="inlineStr">
        <is>
          <t>Type de structure</t>
        </is>
      </c>
      <c r="C7" s="5" t="inlineStr">
        <is>
          <t>Intérêt recherché</t>
        </is>
      </c>
      <c r="D7" s="5" t="inlineStr">
        <is>
          <t>Structure identifiée</t>
        </is>
      </c>
      <c r="E7" s="5" t="inlineStr">
        <is>
          <t>Contact professionnel</t>
        </is>
      </c>
      <c r="F7" s="5" t="inlineStr">
        <is>
          <t>Contribution envisagée</t>
        </is>
      </c>
      <c r="G7" s="5" t="inlineStr">
        <is>
          <t>Statut</t>
        </is>
      </c>
      <c r="H7" s="5" t="inlineStr">
        <is>
          <t>Prochaine action</t>
        </is>
      </c>
      <c r="I7" s="5" t="inlineStr">
        <is>
          <t>Échéance</t>
        </is>
      </c>
      <c r="J7" s="5" t="inlineStr">
        <is>
          <t>Preuve accord</t>
        </is>
      </c>
    </row>
    <row r="8" ht="43" customHeight="1">
      <c r="A8" s="18" t="inlineStr">
        <is>
          <t>P1</t>
        </is>
      </c>
      <c r="B8" s="18" t="inlineStr">
        <is>
          <t>Association étudiante</t>
        </is>
      </c>
      <c r="C8" s="18" t="inlineStr">
        <is>
          <t>Public intéressé par les médias</t>
        </is>
      </c>
      <c r="D8" s="21" t="n"/>
      <c r="E8" s="21" t="n"/>
      <c r="F8" s="21" t="inlineStr">
        <is>
          <t>Relais invitation</t>
        </is>
      </c>
      <c r="G8" s="21" t="inlineStr">
        <is>
          <t>À identifier</t>
        </is>
      </c>
      <c r="H8" s="21" t="inlineStr">
        <is>
          <t>Qualifier une structure et préparer la prise de contact</t>
        </is>
      </c>
      <c r="I8" s="19" t="n"/>
      <c r="J8" s="21" t="n"/>
    </row>
    <row r="9" ht="43" customHeight="1">
      <c r="A9" s="20" t="inlineStr">
        <is>
          <t>P2</t>
        </is>
      </c>
      <c r="B9" s="20" t="inlineStr">
        <is>
          <t>Bibliothèque / médiathèque</t>
        </is>
      </c>
      <c r="C9" s="20" t="inlineStr">
        <is>
          <t>Lieu accessible et médiation</t>
        </is>
      </c>
      <c r="D9" s="21" t="n"/>
      <c r="E9" s="21" t="n"/>
      <c r="F9" s="21" t="inlineStr">
        <is>
          <t>Lieu ou relais à discuter</t>
        </is>
      </c>
      <c r="G9" s="21" t="inlineStr">
        <is>
          <t>À identifier</t>
        </is>
      </c>
      <c r="H9" s="21" t="inlineStr">
        <is>
          <t>Qualifier une structure et préparer la prise de contact</t>
        </is>
      </c>
      <c r="I9" s="19" t="n"/>
      <c r="J9" s="21" t="n"/>
    </row>
    <row r="10" ht="43" customHeight="1">
      <c r="A10" s="18" t="inlineStr">
        <is>
          <t>P3</t>
        </is>
      </c>
      <c r="B10" s="18" t="inlineStr">
        <is>
          <t>Association éducation médias</t>
        </is>
      </c>
      <c r="C10" s="18" t="inlineStr">
        <is>
          <t>Expertise sur les sources</t>
        </is>
      </c>
      <c r="D10" s="21" t="n"/>
      <c r="E10" s="21" t="n"/>
      <c r="F10" s="21" t="inlineStr">
        <is>
          <t>Participation éditoriale</t>
        </is>
      </c>
      <c r="G10" s="21" t="inlineStr">
        <is>
          <t>À identifier</t>
        </is>
      </c>
      <c r="H10" s="21" t="inlineStr">
        <is>
          <t>Qualifier une structure et préparer la prise de contact</t>
        </is>
      </c>
      <c r="I10" s="19" t="n"/>
      <c r="J10" s="21" t="n"/>
    </row>
    <row r="11" ht="43" customHeight="1">
      <c r="A11" s="20" t="inlineStr">
        <is>
          <t>P4</t>
        </is>
      </c>
      <c r="B11" s="20" t="inlineStr">
        <is>
          <t>Média local</t>
        </is>
      </c>
      <c r="C11" s="20" t="inlineStr">
        <is>
          <t>Ancrage et diffusion</t>
        </is>
      </c>
      <c r="D11" s="21" t="n"/>
      <c r="E11" s="21" t="n"/>
      <c r="F11" s="21" t="inlineStr">
        <is>
          <t>Relais de communication</t>
        </is>
      </c>
      <c r="G11" s="21" t="inlineStr">
        <is>
          <t>À identifier</t>
        </is>
      </c>
      <c r="H11" s="21" t="inlineStr">
        <is>
          <t>Qualifier une structure et préparer la prise de contact</t>
        </is>
      </c>
      <c r="I11" s="19" t="n"/>
      <c r="J11" s="21" t="n"/>
    </row>
    <row r="12" ht="43" customHeight="1">
      <c r="A12" s="18" t="inlineStr">
        <is>
          <t>P5</t>
        </is>
      </c>
      <c r="B12" s="18" t="inlineStr">
        <is>
          <t>Structure culturelle locale</t>
        </is>
      </c>
      <c r="C12" s="18" t="inlineStr">
        <is>
          <t>Ouverture à de nouveaux publics</t>
        </is>
      </c>
      <c r="D12" s="21" t="n"/>
      <c r="E12" s="21" t="n"/>
      <c r="F12" s="21" t="inlineStr">
        <is>
          <t>Relais ou accueil</t>
        </is>
      </c>
      <c r="G12" s="21" t="inlineStr">
        <is>
          <t>À identifier</t>
        </is>
      </c>
      <c r="H12" s="21" t="inlineStr">
        <is>
          <t>Qualifier une structure et préparer la prise de contact</t>
        </is>
      </c>
      <c r="I12" s="19" t="n"/>
      <c r="J12" s="21" t="n"/>
    </row>
    <row r="13" ht="43" customHeight="1">
      <c r="A13" s="20" t="inlineStr">
        <is>
          <t>P6</t>
        </is>
      </c>
      <c r="B13" s="20" t="inlineStr">
        <is>
          <t>Soutien financier à identifier</t>
        </is>
      </c>
      <c r="C13" s="20" t="inlineStr">
        <is>
          <t>Boucler le scénario financier</t>
        </is>
      </c>
      <c r="D13" s="21" t="n"/>
      <c r="E13" s="21" t="n"/>
      <c r="F13" s="21" t="inlineStr">
        <is>
          <t>Contribution sous accord</t>
        </is>
      </c>
      <c r="G13" s="21" t="inlineStr">
        <is>
          <t>À identifier</t>
        </is>
      </c>
      <c r="H13" s="21" t="inlineStr">
        <is>
          <t>Qualifier une structure et préparer la prise de contact</t>
        </is>
      </c>
      <c r="I13" s="19" t="n"/>
      <c r="J13" s="21" t="n"/>
    </row>
  </sheetData>
  <autoFilter ref="A7:J13"/>
  <mergeCells count="2">
    <mergeCell ref="A1:J2"/>
    <mergeCell ref="A4:J5"/>
  </mergeCells>
  <dataValidations count="1">
    <dataValidation sqref="G8:G13" showDropDown="0" showInputMessage="0" showErrorMessage="1" allowBlank="1" errorTitle="Valeur à vérifier" error="Utilisez une valeur autorisée." type="list" errorStyle="stop">
      <formula1>"À identifier,À contacter,Contacté,En discussion,Accord écrit,Refusé"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0" customWidth="1" min="2" max="2"/>
    <col width="30" customWidth="1" min="3" max="3"/>
    <col width="28" customWidth="1" min="4" max="4"/>
    <col width="25" customWidth="1" min="5" max="5"/>
    <col width="48" customWidth="1" min="6" max="6"/>
    <col width="23" customWidth="1" min="7" max="7"/>
    <col width="25" customWidth="1" min="8" max="8"/>
    <col width="28" customWidth="1" min="9" max="9"/>
    <col width="22" customWidth="1" min="10" max="10"/>
  </cols>
  <sheetData>
    <row r="1" ht="24" customHeight="1">
      <c r="A1" s="1" t="inlineStr">
        <is>
          <t>11 / PROGRAMME ET INTERVENANTS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/>
    <row r="4" ht="22" customHeight="1">
      <c r="A4" s="3" t="inlineStr">
        <is>
          <t>Profils recherchés, sans personne confirmée. Accord écrit et conditions indispensables avant annonce publique.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Rôle</t>
        </is>
      </c>
      <c r="B7" s="5" t="inlineStr">
        <is>
          <t>Profil recherché</t>
        </is>
      </c>
      <c r="C7" s="5" t="inlineStr">
        <is>
          <t>Nom confirmé</t>
        </is>
      </c>
      <c r="D7" s="5" t="inlineStr">
        <is>
          <t>Structure</t>
        </is>
      </c>
      <c r="E7" s="5" t="inlineStr">
        <is>
          <t>Statut</t>
        </is>
      </c>
      <c r="F7" s="5" t="inlineStr">
        <is>
          <t>Conditions / rémunération</t>
        </is>
      </c>
      <c r="G7" s="5" t="inlineStr">
        <is>
          <t>Accord écrit</t>
        </is>
      </c>
      <c r="H7" s="5" t="inlineStr">
        <is>
          <t>Biographie validée</t>
        </is>
      </c>
      <c r="I7" s="5" t="inlineStr">
        <is>
          <t>Disponibilité confirmée</t>
        </is>
      </c>
      <c r="J7" s="5" t="inlineStr">
        <is>
          <t>Brief réalisé</t>
        </is>
      </c>
    </row>
    <row r="8" ht="43" customHeight="1">
      <c r="A8" s="18" t="inlineStr">
        <is>
          <t>Intervenant 1</t>
        </is>
      </c>
      <c r="B8" s="18" t="inlineStr">
        <is>
          <t>Journalisme / vérification des sources</t>
        </is>
      </c>
      <c r="C8" s="21" t="n"/>
      <c r="D8" s="21" t="n"/>
      <c r="E8" s="21" t="inlineStr">
        <is>
          <t>À identifier</t>
        </is>
      </c>
      <c r="F8" s="21" t="inlineStr">
        <is>
          <t>Hypothèse de 100 € TTC à discuter</t>
        </is>
      </c>
      <c r="G8" s="21" t="inlineStr">
        <is>
          <t>Non</t>
        </is>
      </c>
      <c r="H8" s="21" t="inlineStr">
        <is>
          <t>Non</t>
        </is>
      </c>
      <c r="I8" s="21" t="inlineStr">
        <is>
          <t>Non</t>
        </is>
      </c>
      <c r="J8" s="21" t="inlineStr">
        <is>
          <t>Non</t>
        </is>
      </c>
    </row>
    <row r="9" ht="43" customHeight="1">
      <c r="A9" s="20" t="inlineStr">
        <is>
          <t>Intervenant 2</t>
        </is>
      </c>
      <c r="B9" s="20" t="inlineStr">
        <is>
          <t>Recherche / usages de l’IA et des réseaux</t>
        </is>
      </c>
      <c r="C9" s="21" t="n"/>
      <c r="D9" s="21" t="n"/>
      <c r="E9" s="21" t="inlineStr">
        <is>
          <t>À identifier</t>
        </is>
      </c>
      <c r="F9" s="21" t="inlineStr">
        <is>
          <t>Hypothèse de 100 € TTC à discuter</t>
        </is>
      </c>
      <c r="G9" s="21" t="inlineStr">
        <is>
          <t>Non</t>
        </is>
      </c>
      <c r="H9" s="21" t="inlineStr">
        <is>
          <t>Non</t>
        </is>
      </c>
      <c r="I9" s="21" t="inlineStr">
        <is>
          <t>Non</t>
        </is>
      </c>
      <c r="J9" s="21" t="inlineStr">
        <is>
          <t>Non</t>
        </is>
      </c>
    </row>
    <row r="10" ht="43" customHeight="1">
      <c r="A10" s="18" t="inlineStr">
        <is>
          <t>Modération</t>
        </is>
      </c>
      <c r="B10" s="18" t="inlineStr">
        <is>
          <t>Animation de débat et médiation</t>
        </is>
      </c>
      <c r="C10" s="21" t="n"/>
      <c r="D10" s="21" t="n"/>
      <c r="E10" s="21" t="inlineStr">
        <is>
          <t>À identifier</t>
        </is>
      </c>
      <c r="F10" s="21" t="inlineStr">
        <is>
          <t>Hypothèse de 100 € TTC à discuter</t>
        </is>
      </c>
      <c r="G10" s="21" t="inlineStr">
        <is>
          <t>Non</t>
        </is>
      </c>
      <c r="H10" s="21" t="inlineStr">
        <is>
          <t>Non</t>
        </is>
      </c>
      <c r="I10" s="21" t="inlineStr">
        <is>
          <t>Non</t>
        </is>
      </c>
      <c r="J10" s="21" t="inlineStr">
        <is>
          <t>Non</t>
        </is>
      </c>
    </row>
  </sheetData>
  <autoFilter ref="A7:J10"/>
  <mergeCells count="2">
    <mergeCell ref="A1:J2"/>
    <mergeCell ref="A4:J5"/>
  </mergeCells>
  <dataValidations count="5">
    <dataValidation sqref="E8:E10" showDropDown="0" showInputMessage="0" showErrorMessage="1" allowBlank="1" errorTitle="Valeur à vérifier" error="Utilisez une valeur autorisée." type="list" errorStyle="stop">
      <formula1>"À identifier,Invité,En discussion,Confirmé,Indisponible"</formula1>
    </dataValidation>
    <dataValidation sqref="G8:G10" showDropDown="0" showInputMessage="0" showErrorMessage="1" allowBlank="1" errorTitle="Valeur à vérifier" error="Utilisez une valeur autorisée." type="list" errorStyle="stop">
      <formula1>"Non,Oui,Sans objet"</formula1>
    </dataValidation>
    <dataValidation sqref="H8:H10" showDropDown="0" showInputMessage="0" showErrorMessage="1" allowBlank="1" errorTitle="Valeur à vérifier" error="Utilisez une valeur autorisée." type="list" errorStyle="stop">
      <formula1>"Non,Oui,Sans objet"</formula1>
    </dataValidation>
    <dataValidation sqref="I8:I10" showDropDown="0" showInputMessage="0" showErrorMessage="1" allowBlank="1" errorTitle="Valeur à vérifier" error="Utilisez une valeur autorisée." type="list" errorStyle="stop">
      <formula1>"Non,Oui,Sans objet"</formula1>
    </dataValidation>
    <dataValidation sqref="J8:J10" showDropDown="0" showInputMessage="0" showErrorMessage="1" allowBlank="1" errorTitle="Valeur à vérifier" error="Utilisez une valeur autorisée." type="list" errorStyle="stop">
      <formula1>"Non,Oui,Sans objet"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38" customWidth="1" min="3" max="3"/>
    <col width="18" customWidth="1" min="4" max="4"/>
    <col width="15" customWidth="1" min="5" max="5"/>
    <col width="26" customWidth="1" min="6" max="6"/>
    <col width="35" customWidth="1" min="7" max="7"/>
    <col width="23" customWidth="1" min="8" max="8"/>
    <col width="64" customWidth="1" min="9" max="9"/>
  </cols>
  <sheetData>
    <row r="1" ht="24" customHeight="1">
      <c r="A1" s="1" t="inlineStr">
        <is>
          <t>12 / BESOINS ET INVENTAIRE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/>
    <row r="4" ht="22" customHeight="1">
      <c r="A4" s="3" t="inlineStr">
        <is>
          <t>Quantités de travail ; la disponibilité, les réservations et l’attribution au lieu restent à vérifier.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</t>
        </is>
      </c>
      <c r="B7" s="5" t="inlineStr">
        <is>
          <t>Zone</t>
        </is>
      </c>
      <c r="C7" s="5" t="inlineStr">
        <is>
          <t>Besoin</t>
        </is>
      </c>
      <c r="D7" s="5" t="inlineStr">
        <is>
          <t>Quantité prévue</t>
        </is>
      </c>
      <c r="E7" s="5" t="inlineStr">
        <is>
          <t>Unité</t>
        </is>
      </c>
      <c r="F7" s="5" t="inlineStr">
        <is>
          <t>Pilote</t>
        </is>
      </c>
      <c r="G7" s="5" t="inlineStr">
        <is>
          <t>Mode envisagé</t>
        </is>
      </c>
      <c r="H7" s="5" t="inlineStr">
        <is>
          <t>Statut</t>
        </is>
      </c>
      <c r="I7" s="5" t="inlineStr">
        <is>
          <t>Point de contrôle</t>
        </is>
      </c>
    </row>
    <row r="8" ht="43" customHeight="1">
      <c r="A8" s="18" t="inlineStr">
        <is>
          <t>L1</t>
        </is>
      </c>
      <c r="B8" s="18" t="inlineStr">
        <is>
          <t>Salle</t>
        </is>
      </c>
      <c r="C8" s="18" t="inlineStr">
        <is>
          <t>Places assises</t>
        </is>
      </c>
      <c r="D8" s="28">
        <f>'Paramètres'!B10</f>
        <v/>
      </c>
      <c r="E8" s="18" t="inlineStr">
        <is>
          <t>place</t>
        </is>
      </c>
      <c r="F8" s="21" t="inlineStr">
        <is>
          <t>Logistique</t>
        </is>
      </c>
      <c r="G8" s="21" t="inlineStr">
        <is>
          <t>Lieu</t>
        </is>
      </c>
      <c r="H8" s="21" t="inlineStr">
        <is>
          <t>À faire</t>
        </is>
      </c>
      <c r="I8" s="18" t="inlineStr">
        <is>
          <t>Garder circulations et places accessibles</t>
        </is>
      </c>
    </row>
    <row r="9" ht="43" customHeight="1">
      <c r="A9" s="20" t="inlineStr">
        <is>
          <t>L2</t>
        </is>
      </c>
      <c r="B9" s="20" t="inlineStr">
        <is>
          <t>Salle</t>
        </is>
      </c>
      <c r="C9" s="20" t="inlineStr">
        <is>
          <t>Capacité totale minimale</t>
        </is>
      </c>
      <c r="D9" s="27">
        <f>'Paramètres'!B11</f>
        <v/>
      </c>
      <c r="E9" s="20" t="inlineStr">
        <is>
          <t>personne</t>
        </is>
      </c>
      <c r="F9" s="21" t="inlineStr">
        <is>
          <t>Logistique</t>
        </is>
      </c>
      <c r="G9" s="21" t="inlineStr">
        <is>
          <t>Gestionnaire</t>
        </is>
      </c>
      <c r="H9" s="21" t="inlineStr">
        <is>
          <t>À faire</t>
        </is>
      </c>
      <c r="I9" s="20" t="inlineStr">
        <is>
          <t>Inclure équipe dans le calcul des occupants</t>
        </is>
      </c>
    </row>
    <row r="10" ht="43" customHeight="1">
      <c r="A10" s="18" t="inlineStr">
        <is>
          <t>L3</t>
        </is>
      </c>
      <c r="B10" s="18" t="inlineStr">
        <is>
          <t>Audio</t>
        </is>
      </c>
      <c r="C10" s="18" t="inlineStr">
        <is>
          <t>Micros intervenants</t>
        </is>
      </c>
      <c r="D10" s="21" t="n">
        <v>2</v>
      </c>
      <c r="E10" s="18" t="inlineStr">
        <is>
          <t>micro</t>
        </is>
      </c>
      <c r="F10" s="21" t="inlineStr">
        <is>
          <t>Régie</t>
        </is>
      </c>
      <c r="G10" s="21" t="inlineStr">
        <is>
          <t>Location</t>
        </is>
      </c>
      <c r="H10" s="21" t="inlineStr">
        <is>
          <t>À faire</t>
        </is>
      </c>
      <c r="I10" s="18" t="inlineStr">
        <is>
          <t>Tester avant ouverture</t>
        </is>
      </c>
    </row>
    <row r="11" ht="43" customHeight="1">
      <c r="A11" s="20" t="inlineStr">
        <is>
          <t>L4</t>
        </is>
      </c>
      <c r="B11" s="20" t="inlineStr">
        <is>
          <t>Audio</t>
        </is>
      </c>
      <c r="C11" s="20" t="inlineStr">
        <is>
          <t>Micro questions public</t>
        </is>
      </c>
      <c r="D11" s="21" t="n">
        <v>1</v>
      </c>
      <c r="E11" s="20" t="inlineStr">
        <is>
          <t>micro</t>
        </is>
      </c>
      <c r="F11" s="21" t="inlineStr">
        <is>
          <t>Régie</t>
        </is>
      </c>
      <c r="G11" s="21" t="inlineStr">
        <is>
          <t>À vérifier avec le forfait</t>
        </is>
      </c>
      <c r="H11" s="21" t="inlineStr">
        <is>
          <t>À faire</t>
        </is>
      </c>
      <c r="I11" s="20" t="inlineStr">
        <is>
          <t>Éviter une dépense additionnelle non arbitrée</t>
        </is>
      </c>
    </row>
    <row r="12" ht="43" customHeight="1">
      <c r="A12" s="18" t="inlineStr">
        <is>
          <t>L5</t>
        </is>
      </c>
      <c r="B12" s="18" t="inlineStr">
        <is>
          <t>Audio</t>
        </is>
      </c>
      <c r="C12" s="18" t="inlineStr">
        <is>
          <t>Enceintes</t>
        </is>
      </c>
      <c r="D12" s="21" t="n">
        <v>2</v>
      </c>
      <c r="E12" s="18" t="inlineStr">
        <is>
          <t>enceinte</t>
        </is>
      </c>
      <c r="F12" s="21" t="inlineStr">
        <is>
          <t>Régie</t>
        </is>
      </c>
      <c r="G12" s="21" t="inlineStr">
        <is>
          <t>Lieu / location</t>
        </is>
      </c>
      <c r="H12" s="21" t="inlineStr">
        <is>
          <t>À faire</t>
        </is>
      </c>
      <c r="I12" s="18" t="inlineStr">
        <is>
          <t>Couverture de la salle et niveaux</t>
        </is>
      </c>
    </row>
    <row r="13" ht="43" customHeight="1">
      <c r="A13" s="20" t="inlineStr">
        <is>
          <t>L6</t>
        </is>
      </c>
      <c r="B13" s="20" t="inlineStr">
        <is>
          <t>Accueil</t>
        </is>
      </c>
      <c r="C13" s="20" t="inlineStr">
        <is>
          <t>Tables accueil</t>
        </is>
      </c>
      <c r="D13" s="21" t="n">
        <v>2</v>
      </c>
      <c r="E13" s="20" t="inlineStr">
        <is>
          <t>table</t>
        </is>
      </c>
      <c r="F13" s="21" t="inlineStr">
        <is>
          <t>Accueil</t>
        </is>
      </c>
      <c r="G13" s="21" t="inlineStr">
        <is>
          <t>Lieu</t>
        </is>
      </c>
      <c r="H13" s="21" t="inlineStr">
        <is>
          <t>À faire</t>
        </is>
      </c>
      <c r="I13" s="20" t="inlineStr">
        <is>
          <t>Flux, visibilité et accès</t>
        </is>
      </c>
    </row>
    <row r="14" ht="43" customHeight="1">
      <c r="A14" s="18" t="inlineStr">
        <is>
          <t>L7</t>
        </is>
      </c>
      <c r="B14" s="18" t="inlineStr">
        <is>
          <t>Accueil</t>
        </is>
      </c>
      <c r="C14" s="18" t="inlineStr">
        <is>
          <t>Programmes</t>
        </is>
      </c>
      <c r="D14" s="28">
        <f>'Paramètres'!B10</f>
        <v/>
      </c>
      <c r="E14" s="18" t="inlineStr">
        <is>
          <t>exemplaire</t>
        </is>
      </c>
      <c r="F14" s="21" t="inlineStr">
        <is>
          <t>Communication</t>
        </is>
      </c>
      <c r="G14" s="21" t="inlineStr">
        <is>
          <t>Impression</t>
        </is>
      </c>
      <c r="H14" s="21" t="inlineStr">
        <is>
          <t>À faire</t>
        </is>
      </c>
      <c r="I14" s="18" t="inlineStr">
        <is>
          <t>Limiter le tirage au besoin</t>
        </is>
      </c>
    </row>
    <row r="15" ht="43" customHeight="1">
      <c r="A15" s="20" t="inlineStr">
        <is>
          <t>L8</t>
        </is>
      </c>
      <c r="B15" s="20" t="inlineStr">
        <is>
          <t>Atelier</t>
        </is>
      </c>
      <c r="C15" s="20" t="inlineStr">
        <is>
          <t>Supports d’exercice</t>
        </is>
      </c>
      <c r="D15" s="27">
        <f>'Paramètres'!B10</f>
        <v/>
      </c>
      <c r="E15" s="20" t="inlineStr">
        <is>
          <t>support</t>
        </is>
      </c>
      <c r="F15" s="21" t="inlineStr">
        <is>
          <t>Éditorial</t>
        </is>
      </c>
      <c r="G15" s="21" t="inlineStr">
        <is>
          <t>Numérique / programme</t>
        </is>
      </c>
      <c r="H15" s="21" t="inlineStr">
        <is>
          <t>À faire</t>
        </is>
      </c>
      <c r="I15" s="20" t="inlineStr">
        <is>
          <t>Cas documenté et sources</t>
        </is>
      </c>
    </row>
    <row r="16" ht="43" customHeight="1">
      <c r="A16" s="18" t="inlineStr">
        <is>
          <t>L9</t>
        </is>
      </c>
      <c r="B16" s="18" t="inlineStr">
        <is>
          <t>Collation</t>
        </is>
      </c>
      <c r="C16" s="18" t="inlineStr">
        <is>
          <t>Portions collation</t>
        </is>
      </c>
      <c r="D16" s="28">
        <f>'Paramètres'!B10</f>
        <v/>
      </c>
      <c r="E16" s="18" t="inlineStr">
        <is>
          <t>portion</t>
        </is>
      </c>
      <c r="F16" s="21" t="inlineStr">
        <is>
          <t>Logistique</t>
        </is>
      </c>
      <c r="G16" s="21" t="inlineStr">
        <is>
          <t>Approvisionnement</t>
        </is>
      </c>
      <c r="H16" s="21" t="inlineStr">
        <is>
          <t>À faire</t>
        </is>
      </c>
      <c r="I16" s="18" t="inlineStr">
        <is>
          <t>Contraintes alimentaires et déchets</t>
        </is>
      </c>
    </row>
    <row r="17" ht="43" customHeight="1">
      <c r="A17" s="20" t="inlineStr">
        <is>
          <t>L10</t>
        </is>
      </c>
      <c r="B17" s="20" t="inlineStr">
        <is>
          <t>Équipe</t>
        </is>
      </c>
      <c r="C17" s="20" t="inlineStr">
        <is>
          <t>Personnel maximum</t>
        </is>
      </c>
      <c r="D17" s="27">
        <f>'Paramètres'!B12</f>
        <v/>
      </c>
      <c r="E17" s="20" t="inlineStr">
        <is>
          <t>personne</t>
        </is>
      </c>
      <c r="F17" s="21" t="inlineStr">
        <is>
          <t>Responsable projet</t>
        </is>
      </c>
      <c r="G17" s="21" t="inlineStr">
        <is>
          <t>À affecter</t>
        </is>
      </c>
      <c r="H17" s="21" t="inlineStr">
        <is>
          <t>À faire</t>
        </is>
      </c>
      <c r="I17" s="20" t="inlineStr">
        <is>
          <t>Intervenants inclus dans l’enveloppe</t>
        </is>
      </c>
    </row>
    <row r="18" ht="43" customHeight="1">
      <c r="A18" s="18" t="inlineStr">
        <is>
          <t>L11</t>
        </is>
      </c>
      <c r="B18" s="18" t="inlineStr">
        <is>
          <t>Sécurité</t>
        </is>
      </c>
      <c r="C18" s="18" t="inlineStr">
        <is>
          <t>Repérage issues</t>
        </is>
      </c>
      <c r="D18" s="21" t="n">
        <v>1</v>
      </c>
      <c r="E18" s="18" t="inlineStr">
        <is>
          <t>contrôle</t>
        </is>
      </c>
      <c r="F18" s="21" t="inlineStr">
        <is>
          <t>Logistique</t>
        </is>
      </c>
      <c r="G18" s="21" t="inlineStr">
        <is>
          <t>Gestionnaire</t>
        </is>
      </c>
      <c r="H18" s="21" t="inlineStr">
        <is>
          <t>À faire</t>
        </is>
      </c>
      <c r="I18" s="18" t="inlineStr">
        <is>
          <t>Consignes et référent du lieu</t>
        </is>
      </c>
    </row>
    <row r="19" ht="43" customHeight="1">
      <c r="A19" s="20" t="inlineStr">
        <is>
          <t>L12</t>
        </is>
      </c>
      <c r="B19" s="20" t="inlineStr">
        <is>
          <t>Technique</t>
        </is>
      </c>
      <c r="C19" s="20" t="inlineStr">
        <is>
          <t>Jeu de câbles de secours</t>
        </is>
      </c>
      <c r="D19" s="21" t="n">
        <v>1</v>
      </c>
      <c r="E19" s="20" t="inlineStr">
        <is>
          <t>lot</t>
        </is>
      </c>
      <c r="F19" s="21" t="inlineStr">
        <is>
          <t>Régie</t>
        </is>
      </c>
      <c r="G19" s="21" t="inlineStr">
        <is>
          <t>Location / équipe</t>
        </is>
      </c>
      <c r="H19" s="21" t="inlineStr">
        <is>
          <t>À faire</t>
        </is>
      </c>
      <c r="I19" s="20" t="inlineStr">
        <is>
          <t>Adaptateurs testés</t>
        </is>
      </c>
    </row>
  </sheetData>
  <autoFilter ref="A7:I19"/>
  <mergeCells count="2">
    <mergeCell ref="A1:I2"/>
    <mergeCell ref="A4:I5"/>
  </mergeCells>
  <conditionalFormatting sqref="H8:H19">
    <cfRule type="expression" priority="1" dxfId="1">
      <formula>H8="Terminé"</formula>
    </cfRule>
    <cfRule type="expression" priority="2" dxfId="2">
      <formula>H8="Bloqué"</formula>
    </cfRule>
  </conditionalFormatting>
  <dataValidations count="1">
    <dataValidation sqref="H8:H19" showDropDown="0" showInputMessage="0" showErrorMessage="1" allowBlank="1" errorTitle="Valeur à vérifier" error="Utilisez une valeur autorisée." type="list" errorStyle="stop">
      <formula1>Statuts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J9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5" customWidth="1" min="2" max="2"/>
    <col width="21" customWidth="1" min="3" max="3"/>
    <col width="26" customWidth="1" min="4" max="4"/>
    <col width="20" customWidth="1" min="5" max="5"/>
    <col width="38" customWidth="1" min="6" max="6"/>
    <col width="24" customWidth="1" min="7" max="7"/>
    <col width="47" customWidth="1" min="8" max="8"/>
    <col width="23" customWidth="1" min="9" max="9"/>
    <col width="24" customWidth="1" min="10" max="10"/>
  </cols>
  <sheetData>
    <row r="1" ht="24" customHeight="1">
      <c r="A1" s="1" t="inlineStr">
        <is>
          <t>13 / COMPARAISON DES LIEUX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/>
    <row r="4" ht="22" customHeight="1">
      <c r="A4" s="3" t="inlineStr">
        <is>
          <t>Deux options à rechercher. Ne pas réserver avant vérification de la capacité, de l’accès et du coût global.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Option</t>
        </is>
      </c>
      <c r="B7" s="5" t="inlineStr">
        <is>
          <t>Lieu identifié</t>
        </is>
      </c>
      <c r="C7" s="5" t="inlineStr">
        <is>
          <t>Capacité vérifiée</t>
        </is>
      </c>
      <c r="D7" s="5" t="inlineStr">
        <is>
          <t>Accessibilité vérifiée</t>
        </is>
      </c>
      <c r="E7" s="5" t="inlineStr">
        <is>
          <t>Coût TTC</t>
        </is>
      </c>
      <c r="F7" s="5" t="inlineStr">
        <is>
          <t>Technique incluse</t>
        </is>
      </c>
      <c r="G7" s="5" t="inlineStr">
        <is>
          <t>Disponibilité</t>
        </is>
      </c>
      <c r="H7" s="5" t="inlineStr">
        <is>
          <t>Conditions annulation</t>
        </is>
      </c>
      <c r="I7" s="5" t="inlineStr">
        <is>
          <t>Accord écrit</t>
        </is>
      </c>
      <c r="J7" s="5" t="inlineStr">
        <is>
          <t>Décision</t>
        </is>
      </c>
    </row>
    <row r="8" ht="43" customHeight="1">
      <c r="A8" s="18" t="inlineStr">
        <is>
          <t>Option A</t>
        </is>
      </c>
      <c r="B8" s="21" t="n"/>
      <c r="C8" s="21" t="n"/>
      <c r="D8" s="21" t="inlineStr">
        <is>
          <t>À vérifier</t>
        </is>
      </c>
      <c r="E8" s="23" t="n"/>
      <c r="F8" s="21" t="n"/>
      <c r="G8" s="21" t="inlineStr">
        <is>
          <t>À vérifier</t>
        </is>
      </c>
      <c r="H8" s="21" t="n"/>
      <c r="I8" s="21" t="inlineStr">
        <is>
          <t>Non</t>
        </is>
      </c>
      <c r="J8" s="21" t="inlineStr">
        <is>
          <t>À comparer</t>
        </is>
      </c>
    </row>
    <row r="9" ht="43" customHeight="1">
      <c r="A9" s="20" t="inlineStr">
        <is>
          <t>Option B</t>
        </is>
      </c>
      <c r="B9" s="21" t="n"/>
      <c r="C9" s="21" t="n"/>
      <c r="D9" s="21" t="inlineStr">
        <is>
          <t>À vérifier</t>
        </is>
      </c>
      <c r="E9" s="23" t="n"/>
      <c r="F9" s="21" t="n"/>
      <c r="G9" s="21" t="inlineStr">
        <is>
          <t>À vérifier</t>
        </is>
      </c>
      <c r="H9" s="21" t="n"/>
      <c r="I9" s="21" t="inlineStr">
        <is>
          <t>Non</t>
        </is>
      </c>
      <c r="J9" s="21" t="inlineStr">
        <is>
          <t>À comparer</t>
        </is>
      </c>
    </row>
  </sheetData>
  <autoFilter ref="A7:J9"/>
  <mergeCells count="2">
    <mergeCell ref="A1:J2"/>
    <mergeCell ref="A4:J5"/>
  </mergeCells>
  <dataValidations count="2">
    <dataValidation sqref="D8:D9" showDropDown="0" showInputMessage="0" showErrorMessage="1" allowBlank="1" errorTitle="Valeur à vérifier" error="Utilisez une valeur autorisée." type="list" errorStyle="stop">
      <formula1>"À vérifier,Oui,Non"</formula1>
    </dataValidation>
    <dataValidation sqref="I8:I9" showDropDown="0" showInputMessage="0" showErrorMessage="1" allowBlank="1" errorTitle="Valeur à vérifier" error="Utilisez une valeur autorisée." type="list" errorStyle="stop">
      <formula1>"Non,Oui"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5" customWidth="1" min="2" max="2"/>
    <col width="17" customWidth="1" min="3" max="3"/>
    <col width="14" customWidth="1" min="4" max="4"/>
    <col width="13" customWidth="1" min="5" max="5"/>
    <col width="22" customWidth="1" min="6" max="6"/>
    <col width="85" customWidth="1" min="7" max="7"/>
    <col width="26" customWidth="1" min="8" max="8"/>
    <col width="23" customWidth="1" min="9" max="9"/>
    <col width="20" customWidth="1" min="10" max="10"/>
  </cols>
  <sheetData>
    <row r="1" ht="24" customHeight="1">
      <c r="A1" s="1" t="inlineStr">
        <is>
          <t>14 / REGISTRE DES RISQUES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/>
    <row r="4" ht="22" customHeight="1">
      <c r="A4" s="3" t="inlineStr">
        <is>
          <t>Échelle de 1 à 3. Score = probabilité × impact ; ≥ 6 = prioritaire. Évaluation initiale de conception.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</t>
        </is>
      </c>
      <c r="B7" s="5" t="inlineStr">
        <is>
          <t>Risque</t>
        </is>
      </c>
      <c r="C7" s="5" t="inlineStr">
        <is>
          <t>Probabilité</t>
        </is>
      </c>
      <c r="D7" s="5" t="inlineStr">
        <is>
          <t>Impact</t>
        </is>
      </c>
      <c r="E7" s="5" t="inlineStr">
        <is>
          <t>Score</t>
        </is>
      </c>
      <c r="F7" s="5" t="inlineStr">
        <is>
          <t>Niveau</t>
        </is>
      </c>
      <c r="G7" s="5" t="inlineStr">
        <is>
          <t>Prévention / repli</t>
        </is>
      </c>
      <c r="H7" s="5" t="inlineStr">
        <is>
          <t>Pilote</t>
        </is>
      </c>
      <c r="I7" s="5" t="inlineStr">
        <is>
          <t>Statut</t>
        </is>
      </c>
      <c r="J7" s="5" t="inlineStr">
        <is>
          <t>Dernière revue</t>
        </is>
      </c>
    </row>
    <row r="8" ht="43" customHeight="1">
      <c r="A8" s="18" t="inlineStr">
        <is>
          <t>R1</t>
        </is>
      </c>
      <c r="B8" s="18" t="inlineStr">
        <is>
          <t>Lieu ou financement non confirmé</t>
        </is>
      </c>
      <c r="C8" s="21" t="n">
        <v>3</v>
      </c>
      <c r="D8" s="21" t="n">
        <v>3</v>
      </c>
      <c r="E8" s="28">
        <f>C8*D8</f>
        <v/>
      </c>
      <c r="F8" s="28">
        <f>IF(E8&gt;=6,"Prioritaire",IF(E8&gt;=3,"À surveiller","Modéré"))</f>
        <v/>
      </c>
      <c r="G8" s="21" t="inlineStr">
        <is>
          <t>Ne pas ouvrir les inscriptions avant décision écrite ; comparer au moins deux options</t>
        </is>
      </c>
      <c r="H8" s="21" t="inlineStr">
        <is>
          <t>Responsable projet</t>
        </is>
      </c>
      <c r="I8" s="21" t="inlineStr">
        <is>
          <t>À faire</t>
        </is>
      </c>
      <c r="J8" s="19" t="n"/>
    </row>
    <row r="9" ht="43" customHeight="1">
      <c r="A9" s="20" t="inlineStr">
        <is>
          <t>R2</t>
        </is>
      </c>
      <c r="B9" s="20" t="inlineStr">
        <is>
          <t>Désistement d’un intervenant</t>
        </is>
      </c>
      <c r="C9" s="21" t="n">
        <v>2</v>
      </c>
      <c r="D9" s="21" t="n">
        <v>3</v>
      </c>
      <c r="E9" s="27">
        <f>C9*D9</f>
        <v/>
      </c>
      <c r="F9" s="27">
        <f>IF(E9&gt;=6,"Prioritaire",IF(E9&gt;=3,"À surveiller","Modéré"))</f>
        <v/>
      </c>
      <c r="G9" s="21" t="inlineStr">
        <is>
          <t>Confirmer par écrit ; prévoir un format à un intervenant et une séquence de questions étendue</t>
        </is>
      </c>
      <c r="H9" s="21" t="inlineStr">
        <is>
          <t>Éditorial</t>
        </is>
      </c>
      <c r="I9" s="21" t="inlineStr">
        <is>
          <t>À faire</t>
        </is>
      </c>
      <c r="J9" s="19" t="n"/>
    </row>
    <row r="10" ht="43" customHeight="1">
      <c r="A10" s="18" t="inlineStr">
        <is>
          <t>R3</t>
        </is>
      </c>
      <c r="B10" s="18" t="inlineStr">
        <is>
          <t>Inscrits absents</t>
        </is>
      </c>
      <c r="C10" s="21" t="n">
        <v>2</v>
      </c>
      <c r="D10" s="21" t="n">
        <v>2</v>
      </c>
      <c r="E10" s="28">
        <f>C10*D10</f>
        <v/>
      </c>
      <c r="F10" s="28">
        <f>IF(E10&gt;=6,"Prioritaire",IF(E10&gt;=3,"À surveiller","Modéré"))</f>
        <v/>
      </c>
      <c r="G10" s="21" t="inlineStr">
        <is>
          <t>Rappel à J-2, confirmation simple et liste d’attente sans dépasser la jauge</t>
        </is>
      </c>
      <c r="H10" s="21" t="inlineStr">
        <is>
          <t>Accueil</t>
        </is>
      </c>
      <c r="I10" s="21" t="inlineStr">
        <is>
          <t>À faire</t>
        </is>
      </c>
      <c r="J10" s="19" t="n"/>
    </row>
    <row r="11" ht="43" customHeight="1">
      <c r="A11" s="20" t="inlineStr">
        <is>
          <t>R4</t>
        </is>
      </c>
      <c r="B11" s="20" t="inlineStr">
        <is>
          <t>Panne audio / projection</t>
        </is>
      </c>
      <c r="C11" s="21" t="n">
        <v>2</v>
      </c>
      <c r="D11" s="21" t="n">
        <v>3</v>
      </c>
      <c r="E11" s="27">
        <f>C11*D11</f>
        <v/>
      </c>
      <c r="F11" s="27">
        <f>IF(E11&gt;=6,"Prioritaire",IF(E11&gt;=3,"À surveiller","Modéré"))</f>
        <v/>
      </c>
      <c r="G11" s="21" t="inlineStr">
        <is>
          <t>Test J-1 et le jour même ; conducteur et supports imprimés de secours</t>
        </is>
      </c>
      <c r="H11" s="21" t="inlineStr">
        <is>
          <t>Régie</t>
        </is>
      </c>
      <c r="I11" s="21" t="inlineStr">
        <is>
          <t>À faire</t>
        </is>
      </c>
      <c r="J11" s="19" t="n"/>
    </row>
    <row r="12" ht="43" customHeight="1">
      <c r="A12" s="18" t="inlineStr">
        <is>
          <t>R5</t>
        </is>
      </c>
      <c r="B12" s="18" t="inlineStr">
        <is>
          <t>Besoin d’accessibilité non anticipé</t>
        </is>
      </c>
      <c r="C12" s="21" t="n">
        <v>2</v>
      </c>
      <c r="D12" s="21" t="n">
        <v>3</v>
      </c>
      <c r="E12" s="28">
        <f>C12*D12</f>
        <v/>
      </c>
      <c r="F12" s="28">
        <f>IF(E12&gt;=6,"Prioritaire",IF(E12&gt;=3,"À surveiller","Modéré"))</f>
        <v/>
      </c>
      <c r="G12" s="21" t="inlineStr">
        <is>
          <t>Vérifier le lieu et offrir un contact pour recueillir les besoins, sans demander de diagnostic médical</t>
        </is>
      </c>
      <c r="H12" s="21" t="inlineStr">
        <is>
          <t>Logistique</t>
        </is>
      </c>
      <c r="I12" s="21" t="inlineStr">
        <is>
          <t>À faire</t>
        </is>
      </c>
      <c r="J12" s="19" t="n"/>
    </row>
    <row r="13" ht="43" customHeight="1">
      <c r="A13" s="20" t="inlineStr">
        <is>
          <t>R6</t>
        </is>
      </c>
      <c r="B13" s="20" t="inlineStr">
        <is>
          <t>Photo ou donnée utilisée sans accord</t>
        </is>
      </c>
      <c r="C13" s="21" t="n">
        <v>2</v>
      </c>
      <c r="D13" s="21" t="n">
        <v>3</v>
      </c>
      <c r="E13" s="27">
        <f>C13*D13</f>
        <v/>
      </c>
      <c r="F13" s="27">
        <f>IF(E13&gt;=6,"Prioritaire",IF(E13&gt;=3,"À surveiller","Modéré"))</f>
        <v/>
      </c>
      <c r="G13" s="21" t="inlineStr">
        <is>
          <t>Informer, recueillir l’accord pour les usages prévus et limiter les accès à la liste d’inscrits</t>
        </is>
      </c>
      <c r="H13" s="21" t="inlineStr">
        <is>
          <t>Communication</t>
        </is>
      </c>
      <c r="I13" s="21" t="inlineStr">
        <is>
          <t>À faire</t>
        </is>
      </c>
      <c r="J13" s="19" t="n"/>
    </row>
    <row r="14" ht="43" customHeight="1">
      <c r="A14" s="18" t="inlineStr">
        <is>
          <t>R7</t>
        </is>
      </c>
      <c r="B14" s="18" t="inlineStr">
        <is>
          <t>Incident dans le lieu</t>
        </is>
      </c>
      <c r="C14" s="21" t="n">
        <v>1</v>
      </c>
      <c r="D14" s="21" t="n">
        <v>3</v>
      </c>
      <c r="E14" s="28">
        <f>C14*D14</f>
        <v/>
      </c>
      <c r="F14" s="28">
        <f>IF(E14&gt;=6,"Prioritaire",IF(E14&gt;=3,"À surveiller","Modéré"))</f>
        <v/>
      </c>
      <c r="G14" s="21" t="inlineStr">
        <is>
          <t>Suivre le protocole du lieu ; repérer issues, personnel référent et moyens d’alerte</t>
        </is>
      </c>
      <c r="H14" s="21" t="inlineStr">
        <is>
          <t>Logistique</t>
        </is>
      </c>
      <c r="I14" s="21" t="inlineStr">
        <is>
          <t>À faire</t>
        </is>
      </c>
      <c r="J14" s="19" t="n"/>
    </row>
    <row r="15" ht="43" customHeight="1">
      <c r="A15" s="20" t="inlineStr">
        <is>
          <t>R8</t>
        </is>
      </c>
      <c r="B15" s="20" t="inlineStr">
        <is>
          <t>Dérive budgétaire</t>
        </is>
      </c>
      <c r="C15" s="21" t="n">
        <v>2</v>
      </c>
      <c r="D15" s="21" t="n">
        <v>3</v>
      </c>
      <c r="E15" s="27">
        <f>C15*D15</f>
        <v/>
      </c>
      <c r="F15" s="27">
        <f>IF(E15&gt;=6,"Prioritaire",IF(E15&gt;=3,"À surveiller","Modéré"))</f>
        <v/>
      </c>
      <c r="G15" s="21" t="inlineStr">
        <is>
          <t>Aucun engagement sans validation ; réserve de 10 % et arbitrage des options avant commande</t>
        </is>
      </c>
      <c r="H15" s="21" t="inlineStr">
        <is>
          <t>Responsable projet</t>
        </is>
      </c>
      <c r="I15" s="21" t="inlineStr">
        <is>
          <t>À faire</t>
        </is>
      </c>
      <c r="J15" s="19" t="n"/>
    </row>
  </sheetData>
  <autoFilter ref="A7:J15"/>
  <mergeCells count="2">
    <mergeCell ref="A1:J2"/>
    <mergeCell ref="A4:J5"/>
  </mergeCells>
  <conditionalFormatting sqref="I8:I15">
    <cfRule type="expression" priority="1" dxfId="1">
      <formula>I8="Terminé"</formula>
    </cfRule>
    <cfRule type="expression" priority="2" dxfId="2">
      <formula>I8="Bloqué"</formula>
    </cfRule>
  </conditionalFormatting>
  <conditionalFormatting sqref="E8:E15">
    <cfRule type="colorScale" priority="3">
      <colorScale>
        <cfvo type="num" val="1"/>
        <cfvo type="num" val="4"/>
        <cfvo type="num" val="9"/>
        <color rgb="00DBF0E7"/>
        <color rgb="00FFF1CF"/>
        <color rgb="00F3A7AB"/>
      </colorScale>
    </cfRule>
  </conditionalFormatting>
  <dataValidations count="3">
    <dataValidation sqref="I8:I15" showDropDown="0" showInputMessage="0" showErrorMessage="1" allowBlank="1" errorTitle="Valeur à vérifier" error="Utilisez une valeur autorisée." type="list" errorStyle="stop">
      <formula1>Statuts</formula1>
    </dataValidation>
    <dataValidation sqref="C8:C15" showDropDown="0" showInputMessage="0" showErrorMessage="1" allowBlank="1" errorTitle="Valeur à vérifier" error="Utilisez une valeur autorisée." type="whole" errorStyle="stop" operator="between">
      <formula1>1</formula1>
      <formula2>3</formula2>
    </dataValidation>
    <dataValidation sqref="D8:D15" showDropDown="0" showInputMessage="0" showErrorMessage="1" allowBlank="1" errorTitle="Valeur à vérifier" error="Utilisez une valeur autorisée." type="whole" errorStyle="stop" operator="between">
      <formula1>1</formula1>
      <formula2>3</formula2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9" customWidth="1" min="2" max="2"/>
    <col width="27" customWidth="1" min="3" max="3"/>
    <col width="17" customWidth="1" min="4" max="4"/>
    <col width="19" customWidth="1" min="5" max="5"/>
    <col width="25" customWidth="1" min="6" max="6"/>
    <col width="55" customWidth="1" min="7" max="7"/>
    <col width="64" customWidth="1" min="8" max="8"/>
  </cols>
  <sheetData>
    <row r="1" ht="24" customHeight="1">
      <c r="A1" s="1" t="inlineStr">
        <is>
          <t>15 / VALIDATIONS ET PRÉREQUIS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/>
    <row r="4" ht="22" customHeight="1">
      <c r="A4" s="3" t="inlineStr">
        <is>
          <t>La diffusion et les engagements nécessitent des validations écrites ; aucune validation externe n’est acquise.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</t>
        </is>
      </c>
      <c r="B7" s="5" t="inlineStr">
        <is>
          <t>Décision attendue</t>
        </is>
      </c>
      <c r="C7" s="5" t="inlineStr">
        <is>
          <t>Pilote</t>
        </is>
      </c>
      <c r="D7" s="5" t="inlineStr">
        <is>
          <t>Échéance J±</t>
        </is>
      </c>
      <c r="E7" s="5" t="inlineStr">
        <is>
          <t>Date calculée</t>
        </is>
      </c>
      <c r="F7" s="5" t="inlineStr">
        <is>
          <t>Statut</t>
        </is>
      </c>
      <c r="G7" s="5" t="inlineStr">
        <is>
          <t>Preuve / décision</t>
        </is>
      </c>
      <c r="H7" s="5" t="inlineStr">
        <is>
          <t>Conséquence si non validé</t>
        </is>
      </c>
    </row>
    <row r="8" ht="43" customHeight="1">
      <c r="A8" s="18" t="inlineStr">
        <is>
          <t>D1</t>
        </is>
      </c>
      <c r="B8" s="18" t="inlineStr">
        <is>
          <t>Portage juridique et budget</t>
        </is>
      </c>
      <c r="C8" s="21" t="inlineStr">
        <is>
          <t>Responsable projet</t>
        </is>
      </c>
      <c r="D8" s="21" t="n">
        <v>-49</v>
      </c>
      <c r="E8" s="31">
        <f>'Paramètres'!$B$8+D8</f>
        <v/>
      </c>
      <c r="F8" s="21" t="inlineStr">
        <is>
          <t>Non confirmé</t>
        </is>
      </c>
      <c r="G8" s="21" t="n"/>
      <c r="H8" s="21" t="inlineStr">
        <is>
          <t>Aucun engagement financier</t>
        </is>
      </c>
    </row>
    <row r="9" ht="43" customHeight="1">
      <c r="A9" s="20" t="inlineStr">
        <is>
          <t>D2</t>
        </is>
      </c>
      <c r="B9" s="20" t="inlineStr">
        <is>
          <t>Financement disponible</t>
        </is>
      </c>
      <c r="C9" s="21" t="inlineStr">
        <is>
          <t>Responsable projet</t>
        </is>
      </c>
      <c r="D9" s="21" t="n">
        <v>-42</v>
      </c>
      <c r="E9" s="32">
        <f>'Paramètres'!$B$8+D9</f>
        <v/>
      </c>
      <c r="F9" s="21" t="inlineStr">
        <is>
          <t>Non confirmé</t>
        </is>
      </c>
      <c r="G9" s="21" t="n"/>
      <c r="H9" s="21" t="inlineStr">
        <is>
          <t>Arbitrer le périmètre ou reporter</t>
        </is>
      </c>
    </row>
    <row r="10" ht="43" customHeight="1">
      <c r="A10" s="18" t="inlineStr">
        <is>
          <t>D3</t>
        </is>
      </c>
      <c r="B10" s="18" t="inlineStr">
        <is>
          <t>Date et lieu</t>
        </is>
      </c>
      <c r="C10" s="21" t="inlineStr">
        <is>
          <t>Responsable projet / logistique</t>
        </is>
      </c>
      <c r="D10" s="21" t="n">
        <v>-41</v>
      </c>
      <c r="E10" s="31">
        <f>'Paramètres'!$B$8+D10</f>
        <v/>
      </c>
      <c r="F10" s="21" t="inlineStr">
        <is>
          <t>Non confirmé</t>
        </is>
      </c>
      <c r="G10" s="21" t="n"/>
      <c r="H10" s="21" t="inlineStr">
        <is>
          <t>Aucune annonce ferme</t>
        </is>
      </c>
    </row>
    <row r="11" ht="43" customHeight="1">
      <c r="A11" s="20" t="inlineStr">
        <is>
          <t>D4</t>
        </is>
      </c>
      <c r="B11" s="20" t="inlineStr">
        <is>
          <t>Intervenants et conditions</t>
        </is>
      </c>
      <c r="C11" s="21" t="inlineStr">
        <is>
          <t>Éditorial</t>
        </is>
      </c>
      <c r="D11" s="21" t="n">
        <v>-35</v>
      </c>
      <c r="E11" s="32">
        <f>'Paramètres'!$B$8+D11</f>
        <v/>
      </c>
      <c r="F11" s="21" t="inlineStr">
        <is>
          <t>Non confirmé</t>
        </is>
      </c>
      <c r="G11" s="21" t="n"/>
      <c r="H11" s="21" t="inlineStr">
        <is>
          <t>Ne pas annoncer de noms</t>
        </is>
      </c>
    </row>
    <row r="12" ht="43" customHeight="1">
      <c r="A12" s="18" t="inlineStr">
        <is>
          <t>D5</t>
        </is>
      </c>
      <c r="B12" s="18" t="inlineStr">
        <is>
          <t>Assurance et besoins techniques</t>
        </is>
      </c>
      <c r="C12" s="21" t="inlineStr">
        <is>
          <t>Logistique</t>
        </is>
      </c>
      <c r="D12" s="21" t="n">
        <v>-29</v>
      </c>
      <c r="E12" s="31">
        <f>'Paramètres'!$B$8+D12</f>
        <v/>
      </c>
      <c r="F12" s="21" t="inlineStr">
        <is>
          <t>Non confirmé</t>
        </is>
      </c>
      <c r="G12" s="21" t="n"/>
      <c r="H12" s="21" t="inlineStr">
        <is>
          <t>Ne pas confirmer ouverture au public</t>
        </is>
      </c>
    </row>
    <row r="13" ht="43" customHeight="1">
      <c r="A13" s="20" t="inlineStr">
        <is>
          <t>D6</t>
        </is>
      </c>
      <c r="B13" s="20" t="inlineStr">
        <is>
          <t>Supports et programme publics</t>
        </is>
      </c>
      <c r="C13" s="21" t="inlineStr">
        <is>
          <t>Communication</t>
        </is>
      </c>
      <c r="D13" s="21" t="n">
        <v>-28</v>
      </c>
      <c r="E13" s="32">
        <f>'Paramètres'!$B$8+D13</f>
        <v/>
      </c>
      <c r="F13" s="21" t="inlineStr">
        <is>
          <t>Non confirmé</t>
        </is>
      </c>
      <c r="G13" s="21" t="n"/>
      <c r="H13" s="21" t="inlineStr">
        <is>
          <t>Suspendre la diffusion</t>
        </is>
      </c>
    </row>
    <row r="14" ht="43" customHeight="1">
      <c r="A14" s="18" t="inlineStr">
        <is>
          <t>D7</t>
        </is>
      </c>
      <c r="B14" s="18" t="inlineStr">
        <is>
          <t>Inscription et gestion des données</t>
        </is>
      </c>
      <c r="C14" s="21" t="inlineStr">
        <is>
          <t>Responsable projet / accueil</t>
        </is>
      </c>
      <c r="D14" s="21" t="n">
        <v>-28</v>
      </c>
      <c r="E14" s="31">
        <f>'Paramètres'!$B$8+D14</f>
        <v/>
      </c>
      <c r="F14" s="21" t="inlineStr">
        <is>
          <t>Non confirmé</t>
        </is>
      </c>
      <c r="G14" s="21" t="n"/>
      <c r="H14" s="21" t="inlineStr">
        <is>
          <t>Ne pas ouvrir le formulaire</t>
        </is>
      </c>
    </row>
    <row r="15" ht="43" customHeight="1">
      <c r="A15" s="20" t="inlineStr">
        <is>
          <t>D8</t>
        </is>
      </c>
      <c r="B15" s="20" t="inlineStr">
        <is>
          <t>Ouverture le jour J</t>
        </is>
      </c>
      <c r="C15" s="21" t="inlineStr">
        <is>
          <t>Responsable projet</t>
        </is>
      </c>
      <c r="D15" s="21" t="n">
        <v>0</v>
      </c>
      <c r="E15" s="32">
        <f>'Paramètres'!$B$8+D15</f>
        <v/>
      </c>
      <c r="F15" s="21" t="inlineStr">
        <is>
          <t>Non confirmé</t>
        </is>
      </c>
      <c r="G15" s="21" t="n"/>
      <c r="H15" s="21" t="inlineStr">
        <is>
          <t>Suivre les consignes du gestionnaire</t>
        </is>
      </c>
    </row>
  </sheetData>
  <autoFilter ref="A7:H15"/>
  <mergeCells count="2">
    <mergeCell ref="A1:H2"/>
    <mergeCell ref="A4:H5"/>
  </mergeCells>
  <dataValidations count="1">
    <dataValidation sqref="F8:F15" showDropDown="0" showInputMessage="0" showErrorMessage="1" allowBlank="1" errorTitle="Valeur à vérifier" error="Utilisez une valeur autorisée." type="list" errorStyle="stop">
      <formula1>"Non confirmé,En cours,Validé,Refusé"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76" customWidth="1" min="3" max="3"/>
    <col width="28" customWidth="1" min="4" max="4"/>
    <col width="23" customWidth="1" min="5" max="5"/>
    <col width="66" customWidth="1" min="6" max="6"/>
  </cols>
  <sheetData>
    <row r="1" ht="24" customHeight="1">
      <c r="A1" s="1" t="inlineStr">
        <is>
          <t>16 / CONTRÔLES OPÉRATIONNELS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/>
    <row r="4" ht="22" customHeight="1">
      <c r="A4" s="3" t="inlineStr">
        <is>
          <t>Points à vérifier avec les responsables avant ouverture. Les preuves et contrôles restent à renseigner.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ID</t>
        </is>
      </c>
      <c r="B7" s="5" t="inlineStr">
        <is>
          <t>Moment</t>
        </is>
      </c>
      <c r="C7" s="5" t="inlineStr">
        <is>
          <t>Contrôle</t>
        </is>
      </c>
      <c r="D7" s="5" t="inlineStr">
        <is>
          <t>Pilote</t>
        </is>
      </c>
      <c r="E7" s="5" t="inlineStr">
        <is>
          <t>Statut</t>
        </is>
      </c>
      <c r="F7" s="5" t="inlineStr">
        <is>
          <t>Preuve / commentaire</t>
        </is>
      </c>
    </row>
    <row r="8" ht="43" customHeight="1">
      <c r="A8" s="18" t="inlineStr">
        <is>
          <t>Q1</t>
        </is>
      </c>
      <c r="B8" s="18" t="inlineStr">
        <is>
          <t>Avant diffusion</t>
        </is>
      </c>
      <c r="C8" s="18" t="inlineStr">
        <is>
          <t>Date, lieu, intervenants et modalités validés</t>
        </is>
      </c>
      <c r="D8" s="21" t="inlineStr">
        <is>
          <t>Responsable projet</t>
        </is>
      </c>
      <c r="E8" s="21" t="inlineStr">
        <is>
          <t>À faire</t>
        </is>
      </c>
      <c r="F8" s="21" t="n"/>
    </row>
    <row r="9" ht="43" customHeight="1">
      <c r="A9" s="20" t="inlineStr">
        <is>
          <t>Q2</t>
        </is>
      </c>
      <c r="B9" s="20" t="inlineStr">
        <is>
          <t>Avant diffusion</t>
        </is>
      </c>
      <c r="C9" s="20" t="inlineStr">
        <is>
          <t>Texte sans information non confirmée</t>
        </is>
      </c>
      <c r="D9" s="21" t="inlineStr">
        <is>
          <t>Communication</t>
        </is>
      </c>
      <c r="E9" s="21" t="inlineStr">
        <is>
          <t>À faire</t>
        </is>
      </c>
      <c r="F9" s="21" t="n"/>
    </row>
    <row r="10" ht="43" customHeight="1">
      <c r="A10" s="18" t="inlineStr">
        <is>
          <t>Q3</t>
        </is>
      </c>
      <c r="B10" s="18" t="inlineStr">
        <is>
          <t>Avant diffusion</t>
        </is>
      </c>
      <c r="C10" s="18" t="inlineStr">
        <is>
          <t>Formulaire testé et jauge paramétrée</t>
        </is>
      </c>
      <c r="D10" s="21" t="inlineStr">
        <is>
          <t>Accueil</t>
        </is>
      </c>
      <c r="E10" s="21" t="inlineStr">
        <is>
          <t>À faire</t>
        </is>
      </c>
      <c r="F10" s="21" t="n"/>
    </row>
    <row r="11" ht="43" customHeight="1">
      <c r="A11" s="20" t="inlineStr">
        <is>
          <t>Q4</t>
        </is>
      </c>
      <c r="B11" s="20" t="inlineStr">
        <is>
          <t>J-7</t>
        </is>
      </c>
      <c r="C11" s="20" t="inlineStr">
        <is>
          <t>Liste et responsabilités équipe confirmées</t>
        </is>
      </c>
      <c r="D11" s="21" t="inlineStr">
        <is>
          <t>Responsable projet</t>
        </is>
      </c>
      <c r="E11" s="21" t="inlineStr">
        <is>
          <t>À faire</t>
        </is>
      </c>
      <c r="F11" s="21" t="n"/>
    </row>
    <row r="12" ht="43" customHeight="1">
      <c r="A12" s="18" t="inlineStr">
        <is>
          <t>Q5</t>
        </is>
      </c>
      <c r="B12" s="18" t="inlineStr">
        <is>
          <t>J-7</t>
        </is>
      </c>
      <c r="C12" s="18" t="inlineStr">
        <is>
          <t>Accès et adaptations vérifiés avec le lieu</t>
        </is>
      </c>
      <c r="D12" s="21" t="inlineStr">
        <is>
          <t>Logistique</t>
        </is>
      </c>
      <c r="E12" s="21" t="inlineStr">
        <is>
          <t>À faire</t>
        </is>
      </c>
      <c r="F12" s="21" t="n"/>
    </row>
    <row r="13" ht="43" customHeight="1">
      <c r="A13" s="20" t="inlineStr">
        <is>
          <t>Q6</t>
        </is>
      </c>
      <c r="B13" s="20" t="inlineStr">
        <is>
          <t>J-2</t>
        </is>
      </c>
      <c r="C13" s="20" t="inlineStr">
        <is>
          <t>Rappel envoyé et désistement possible</t>
        </is>
      </c>
      <c r="D13" s="21" t="inlineStr">
        <is>
          <t>Communication</t>
        </is>
      </c>
      <c r="E13" s="21" t="inlineStr">
        <is>
          <t>À faire</t>
        </is>
      </c>
      <c r="F13" s="21" t="n"/>
    </row>
    <row r="14" ht="43" customHeight="1">
      <c r="A14" s="18" t="inlineStr">
        <is>
          <t>Q7</t>
        </is>
      </c>
      <c r="B14" s="18" t="inlineStr">
        <is>
          <t>Avant ouverture</t>
        </is>
      </c>
      <c r="C14" s="18" t="inlineStr">
        <is>
          <t>Capacité et circulations vérifiées</t>
        </is>
      </c>
      <c r="D14" s="21" t="inlineStr">
        <is>
          <t>Logistique</t>
        </is>
      </c>
      <c r="E14" s="21" t="inlineStr">
        <is>
          <t>À faire</t>
        </is>
      </c>
      <c r="F14" s="21" t="n"/>
    </row>
    <row r="15" ht="43" customHeight="1">
      <c r="A15" s="20" t="inlineStr">
        <is>
          <t>Q8</t>
        </is>
      </c>
      <c r="B15" s="20" t="inlineStr">
        <is>
          <t>Avant ouverture</t>
        </is>
      </c>
      <c r="C15" s="20" t="inlineStr">
        <is>
          <t>Micros et secours testés</t>
        </is>
      </c>
      <c r="D15" s="21" t="inlineStr">
        <is>
          <t>Régie</t>
        </is>
      </c>
      <c r="E15" s="21" t="inlineStr">
        <is>
          <t>À faire</t>
        </is>
      </c>
      <c r="F15" s="21" t="n"/>
    </row>
    <row r="16" ht="43" customHeight="1">
      <c r="A16" s="18" t="inlineStr">
        <is>
          <t>Q9</t>
        </is>
      </c>
      <c r="B16" s="18" t="inlineStr">
        <is>
          <t>Avant ouverture</t>
        </is>
      </c>
      <c r="C16" s="18" t="inlineStr">
        <is>
          <t>Issues et contacts du gestionnaire repérés</t>
        </is>
      </c>
      <c r="D16" s="21" t="inlineStr">
        <is>
          <t>Logistique</t>
        </is>
      </c>
      <c r="E16" s="21" t="inlineStr">
        <is>
          <t>À faire</t>
        </is>
      </c>
      <c r="F16" s="21" t="n"/>
    </row>
    <row r="17" ht="43" customHeight="1">
      <c r="A17" s="20" t="inlineStr">
        <is>
          <t>Q10</t>
        </is>
      </c>
      <c r="B17" s="20" t="inlineStr">
        <is>
          <t>Avant ouverture</t>
        </is>
      </c>
      <c r="C17" s="20" t="inlineStr">
        <is>
          <t>Accueil et supports prêts</t>
        </is>
      </c>
      <c r="D17" s="21" t="inlineStr">
        <is>
          <t>Accueil</t>
        </is>
      </c>
      <c r="E17" s="21" t="inlineStr">
        <is>
          <t>À faire</t>
        </is>
      </c>
      <c r="F17" s="21" t="n"/>
    </row>
    <row r="18" ht="43" customHeight="1">
      <c r="A18" s="18" t="inlineStr">
        <is>
          <t>Q11</t>
        </is>
      </c>
      <c r="B18" s="18" t="inlineStr">
        <is>
          <t>Pendant</t>
        </is>
      </c>
      <c r="C18" s="18" t="inlineStr">
        <is>
          <t>Entrées comptées sans doublons</t>
        </is>
      </c>
      <c r="D18" s="21" t="inlineStr">
        <is>
          <t>Accueil</t>
        </is>
      </c>
      <c r="E18" s="21" t="inlineStr">
        <is>
          <t>À faire</t>
        </is>
      </c>
      <c r="F18" s="21" t="n"/>
    </row>
    <row r="19" ht="43" customHeight="1">
      <c r="A19" s="20" t="inlineStr">
        <is>
          <t>Q12</t>
        </is>
      </c>
      <c r="B19" s="20" t="inlineStr">
        <is>
          <t>Pendant</t>
        </is>
      </c>
      <c r="C19" s="20" t="inlineStr">
        <is>
          <t>Timing et incidents documentés</t>
        </is>
      </c>
      <c r="D19" s="21" t="inlineStr">
        <is>
          <t>Responsable projet</t>
        </is>
      </c>
      <c r="E19" s="21" t="inlineStr">
        <is>
          <t>À faire</t>
        </is>
      </c>
      <c r="F19" s="21" t="n"/>
    </row>
    <row r="20" ht="43" customHeight="1">
      <c r="A20" s="18" t="inlineStr">
        <is>
          <t>Q13</t>
        </is>
      </c>
      <c r="B20" s="18" t="inlineStr">
        <is>
          <t>Après</t>
        </is>
      </c>
      <c r="C20" s="18" t="inlineStr">
        <is>
          <t>Matériel inventorié et salle restituée</t>
        </is>
      </c>
      <c r="D20" s="21" t="inlineStr">
        <is>
          <t>Logistique</t>
        </is>
      </c>
      <c r="E20" s="21" t="inlineStr">
        <is>
          <t>À faire</t>
        </is>
      </c>
      <c r="F20" s="21" t="n"/>
    </row>
    <row r="21" ht="43" customHeight="1">
      <c r="A21" s="20" t="inlineStr">
        <is>
          <t>Q14</t>
        </is>
      </c>
      <c r="B21" s="20" t="inlineStr">
        <is>
          <t>Après</t>
        </is>
      </c>
      <c r="C21" s="20" t="inlineStr">
        <is>
          <t>Dépenses rapprochées des justificatifs</t>
        </is>
      </c>
      <c r="D21" s="21" t="inlineStr">
        <is>
          <t>Responsable projet</t>
        </is>
      </c>
      <c r="E21" s="21" t="inlineStr">
        <is>
          <t>À faire</t>
        </is>
      </c>
      <c r="F21" s="21" t="n"/>
    </row>
    <row r="22" ht="43" customHeight="1">
      <c r="A22" s="18" t="inlineStr">
        <is>
          <t>Q15</t>
        </is>
      </c>
      <c r="B22" s="18" t="inlineStr">
        <is>
          <t>Après</t>
        </is>
      </c>
      <c r="C22" s="18" t="inlineStr">
        <is>
          <t>Retours consolidés sans résultats inventés</t>
        </is>
      </c>
      <c r="D22" s="21" t="inlineStr">
        <is>
          <t>Responsable projet</t>
        </is>
      </c>
      <c r="E22" s="21" t="inlineStr">
        <is>
          <t>À faire</t>
        </is>
      </c>
      <c r="F22" s="21" t="n"/>
    </row>
  </sheetData>
  <autoFilter ref="A7:F22"/>
  <mergeCells count="2">
    <mergeCell ref="A4:F5"/>
    <mergeCell ref="A1:F2"/>
  </mergeCells>
  <conditionalFormatting sqref="E8:E22">
    <cfRule type="expression" priority="1" dxfId="1">
      <formula>E8="Terminé"</formula>
    </cfRule>
    <cfRule type="expression" priority="2" dxfId="2">
      <formula>E8="Bloqué"</formula>
    </cfRule>
  </conditionalFormatting>
  <dataValidations count="1">
    <dataValidation sqref="E8:E22" showDropDown="0" showInputMessage="0" showErrorMessage="1" allowBlank="1" errorTitle="Valeur à vérifier" error="Utilisez une valeur autorisée." type="list" errorStyle="stop">
      <formula1>Statuts</formula1>
    </dataValidation>
  </dataValidation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C24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7" customWidth="1" min="2" max="2"/>
    <col width="85" customWidth="1" min="3" max="3"/>
  </cols>
  <sheetData>
    <row r="1" ht="24" customHeight="1">
      <c r="A1" s="1" t="inlineStr">
        <is>
          <t>17 / MESURE ET BILAN</t>
        </is>
      </c>
      <c r="B1" s="2" t="n"/>
      <c r="C1" s="2" t="n"/>
    </row>
    <row r="2" ht="24" customHeight="1">
      <c r="A2" s="2" t="n"/>
      <c r="B2" s="2" t="n"/>
      <c r="C2" s="2" t="n"/>
    </row>
    <row r="3"/>
    <row r="4" ht="22" customHeight="1">
      <c r="A4" s="3" t="inlineStr">
        <is>
          <t>Les résultats restent vides avant saisie. Les dépenses payées et engagements proviennent du registre Dépenses.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Indicateur</t>
        </is>
      </c>
      <c r="B7" s="5" t="inlineStr">
        <is>
          <t>Valeur</t>
        </is>
      </c>
      <c r="C7" s="5" t="inlineStr">
        <is>
          <t>Définition / lecture</t>
        </is>
      </c>
    </row>
    <row r="8" ht="43" customHeight="1">
      <c r="A8" s="18" t="inlineStr">
        <is>
          <t>Participants visés</t>
        </is>
      </c>
      <c r="B8" s="28">
        <f>'Paramètres'!B10</f>
        <v/>
      </c>
      <c r="C8" s="18" t="inlineStr">
        <is>
          <t>Objectif de travail</t>
        </is>
      </c>
    </row>
    <row r="9" ht="43" customHeight="1">
      <c r="A9" s="20" t="inlineStr">
        <is>
          <t>Inscriptions confirmées</t>
        </is>
      </c>
      <c r="B9" s="27">
        <f>IF(COUNT('Paramètres'!B17)=0,"",'Paramètres'!B17)</f>
        <v/>
      </c>
      <c r="C9" s="20" t="inlineStr">
        <is>
          <t>Résultat à renseigner</t>
        </is>
      </c>
    </row>
    <row r="10" ht="43" customHeight="1">
      <c r="A10" s="18" t="inlineStr">
        <is>
          <t>Entrées uniques</t>
        </is>
      </c>
      <c r="B10" s="28">
        <f>IF(COUNT('Paramètres'!B18)=0,"",'Paramètres'!B18)</f>
        <v/>
      </c>
      <c r="C10" s="18" t="inlineStr">
        <is>
          <t>Résultat à renseigner</t>
        </is>
      </c>
    </row>
    <row r="11" ht="43" customHeight="1">
      <c r="A11" s="20" t="inlineStr">
        <is>
          <t>Taux de présence</t>
        </is>
      </c>
      <c r="B11" s="34">
        <f>IF(OR(COUNT(B9:B10)&lt;2,B9=0),"",B10/B9)</f>
        <v/>
      </c>
      <c r="C11" s="20" t="inlineStr">
        <is>
          <t>Entrées / inscriptions ; vide si pas de données</t>
        </is>
      </c>
    </row>
    <row r="12" ht="43" customHeight="1">
      <c r="A12" s="18" t="inlineStr">
        <is>
          <t>Questionnaires envoyés</t>
        </is>
      </c>
      <c r="B12" s="28">
        <f>IF(COUNT('Paramètres'!B15)=0,"",'Paramètres'!B15)</f>
        <v/>
      </c>
      <c r="C12" s="18" t="inlineStr">
        <is>
          <t>Résultat après envoi</t>
        </is>
      </c>
    </row>
    <row r="13" ht="43" customHeight="1">
      <c r="A13" s="20" t="inlineStr">
        <is>
          <t>Réponses reçues</t>
        </is>
      </c>
      <c r="B13" s="27">
        <f>IF(COUNT('Paramètres'!B16)=0,"",'Paramètres'!B16)</f>
        <v/>
      </c>
      <c r="C13" s="20" t="inlineStr">
        <is>
          <t>Résultat après réception</t>
        </is>
      </c>
    </row>
    <row r="14" ht="43" customHeight="1">
      <c r="A14" s="18" t="inlineStr">
        <is>
          <t>Taux de réponse</t>
        </is>
      </c>
      <c r="B14" s="35">
        <f>IF(OR(COUNT(B12:B13)&lt;2,B12=0),"",B13/B12)</f>
        <v/>
      </c>
      <c r="C14" s="18" t="inlineStr">
        <is>
          <t>Réponses / questionnaires envoyés</t>
        </is>
      </c>
    </row>
    <row r="15" ht="43" customHeight="1">
      <c r="A15" s="20" t="inlineStr">
        <is>
          <t>Budget prévisionnel TTC</t>
        </is>
      </c>
      <c r="B15" s="25">
        <f>'Budget'!H36</f>
        <v/>
      </c>
      <c r="C15" s="20" t="inlineStr">
        <is>
          <t>Hypothèses incluant la réserve</t>
        </is>
      </c>
    </row>
    <row r="16" ht="43" customHeight="1">
      <c r="A16" s="18" t="inlineStr">
        <is>
          <t>Engagements saisis</t>
        </is>
      </c>
      <c r="B16" s="26">
        <f>IF(COUNT('Dépenses'!E8:E47)=0,"",SUM('Dépenses'!E8:E47))</f>
        <v/>
      </c>
      <c r="C16" s="18" t="inlineStr">
        <is>
          <t>Montants engagés saisis, pas le budget de conception</t>
        </is>
      </c>
    </row>
    <row r="17" ht="43" customHeight="1">
      <c r="A17" s="20" t="inlineStr">
        <is>
          <t>Paiements saisis</t>
        </is>
      </c>
      <c r="B17" s="25">
        <f>IF(COUNT('Dépenses'!G8:G47)=0,"",SUM('Dépenses'!G8:G47))</f>
        <v/>
      </c>
      <c r="C17" s="20" t="inlineStr">
        <is>
          <t>Décaissements documentés ; pas un coût final avant clôture</t>
        </is>
      </c>
    </row>
    <row r="18" ht="43" customHeight="1">
      <c r="A18" s="18" t="inlineStr">
        <is>
          <t>Écart paiements - budget</t>
        </is>
      </c>
      <c r="B18" s="26">
        <f>IF(COUNT(B17)=0,"",B17-B15)</f>
        <v/>
      </c>
      <c r="C18" s="18" t="inlineStr">
        <is>
          <t>Comparer avec prudence tant que des factures restent à payer</t>
        </is>
      </c>
    </row>
    <row r="19" ht="43" customHeight="1">
      <c r="A19" s="20" t="inlineStr">
        <is>
          <t>Taux tâches terminées</t>
        </is>
      </c>
      <c r="B19" s="34">
        <f>COUNTIF('Rétroplanning'!K8:K38,"Terminé")/COUNTA('Rétroplanning'!A8:A38)</f>
        <v/>
      </c>
      <c r="C19" s="20" t="inlineStr">
        <is>
          <t>Avancement administratif du plan d’action</t>
        </is>
      </c>
    </row>
    <row r="20" ht="43" customHeight="1">
      <c r="A20" s="18" t="inlineStr">
        <is>
          <t>Réserve budgétaire</t>
        </is>
      </c>
      <c r="B20" s="26">
        <f>'Budget'!H35</f>
        <v/>
      </c>
      <c r="C20" s="18" t="inlineStr">
        <is>
          <t>Provision de conception</t>
        </is>
      </c>
    </row>
    <row r="21" ht="43" customHeight="1">
      <c r="A21" s="20" t="inlineStr">
        <is>
          <t>Solde engagements non payés</t>
        </is>
      </c>
      <c r="B21" s="25">
        <f>IF(COUNT(B16:B17)&lt;2,"",B16-B17)</f>
        <v/>
      </c>
      <c r="C21" s="20" t="inlineStr">
        <is>
          <t>Registre à rapprocher, non exhaustif avant clôture</t>
        </is>
      </c>
    </row>
    <row r="22" ht="43" customHeight="1">
      <c r="A22" s="18" t="inlineStr">
        <is>
          <t>Financement confirmé</t>
        </is>
      </c>
      <c r="B22" s="26">
        <f>'Financements'!E14</f>
        <v/>
      </c>
      <c r="C22" s="18" t="inlineStr">
        <is>
          <t>Somme des accords monétaires saisis ; aucun accord actuel</t>
        </is>
      </c>
    </row>
    <row r="23" ht="43" customHeight="1">
      <c r="A23" s="20" t="inlineStr">
        <is>
          <t>Financement à obtenir</t>
        </is>
      </c>
      <c r="B23" s="25">
        <f>'Financements'!E15</f>
        <v/>
      </c>
      <c r="C23" s="20" t="inlineStr">
        <is>
          <t>Budget moins accords monétaires saisis</t>
        </is>
      </c>
    </row>
    <row r="24" ht="43" customHeight="1">
      <c r="A24" s="18" t="inlineStr">
        <is>
          <t>Occupants prévus</t>
        </is>
      </c>
      <c r="B24" s="28">
        <f>'Paramètres'!B10+'Paramètres'!B12</f>
        <v/>
      </c>
      <c r="C24" s="18" t="inlineStr">
        <is>
          <t>Participants + équipe maximale ; vérifier la capacité</t>
        </is>
      </c>
    </row>
  </sheetData>
  <autoFilter ref="A7:C24"/>
  <mergeCells count="2">
    <mergeCell ref="A1:C2"/>
    <mergeCell ref="A4:C5"/>
  </mergeCell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69" customWidth="1" min="2" max="2"/>
    <col width="62" customWidth="1" min="3" max="3"/>
    <col width="62" customWidth="1" min="4" max="4"/>
    <col width="27" customWidth="1" min="5" max="5"/>
    <col width="20" customWidth="1" min="6" max="6"/>
  </cols>
  <sheetData>
    <row r="1" ht="24" customHeight="1">
      <c r="A1" s="1" t="inlineStr">
        <is>
          <t>18 / RETOUR D’EXPÉRIENCE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/>
    <row r="4" ht="22" customHeight="1">
      <c r="A4" s="3" t="inlineStr">
        <is>
          <t>Trame à compléter après réalisation et clôture. Aucun bilan d’événement n’est prérempli.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Axe</t>
        </is>
      </c>
      <c r="B7" s="5" t="inlineStr">
        <is>
          <t>Fait observé / preuve</t>
        </is>
      </c>
      <c r="C7" s="5" t="inlineStr">
        <is>
          <t>Écart / enseignement</t>
        </is>
      </c>
      <c r="D7" s="5" t="inlineStr">
        <is>
          <t>Action pour la suite</t>
        </is>
      </c>
      <c r="E7" s="5" t="inlineStr">
        <is>
          <t>Pilote</t>
        </is>
      </c>
      <c r="F7" s="5" t="inlineStr">
        <is>
          <t>Échéance</t>
        </is>
      </c>
    </row>
    <row r="8" ht="43" customHeight="1">
      <c r="A8" s="18" t="inlineStr">
        <is>
          <t>Mobilisation du public</t>
        </is>
      </c>
      <c r="B8" s="21" t="n"/>
      <c r="C8" s="21" t="n"/>
      <c r="D8" s="21" t="n"/>
      <c r="E8" s="21" t="n"/>
      <c r="F8" s="19" t="n"/>
    </row>
    <row r="9" ht="43" customHeight="1">
      <c r="A9" s="20" t="inlineStr">
        <is>
          <t>Accueil et accessibilité</t>
        </is>
      </c>
      <c r="B9" s="21" t="n"/>
      <c r="C9" s="21" t="n"/>
      <c r="D9" s="21" t="n"/>
      <c r="E9" s="21" t="n"/>
      <c r="F9" s="19" t="n"/>
    </row>
    <row r="10" ht="43" customHeight="1">
      <c r="A10" s="18" t="inlineStr">
        <is>
          <t>Programme et animation</t>
        </is>
      </c>
      <c r="B10" s="21" t="n"/>
      <c r="C10" s="21" t="n"/>
      <c r="D10" s="21" t="n"/>
      <c r="E10" s="21" t="n"/>
      <c r="F10" s="19" t="n"/>
    </row>
    <row r="11" ht="43" customHeight="1">
      <c r="A11" s="20" t="inlineStr">
        <is>
          <t>Technique et logistique</t>
        </is>
      </c>
      <c r="B11" s="21" t="n"/>
      <c r="C11" s="21" t="n"/>
      <c r="D11" s="21" t="n"/>
      <c r="E11" s="21" t="n"/>
      <c r="F11" s="19" t="n"/>
    </row>
    <row r="12" ht="43" customHeight="1">
      <c r="A12" s="18" t="inlineStr">
        <is>
          <t>Communication et relais</t>
        </is>
      </c>
      <c r="B12" s="21" t="n"/>
      <c r="C12" s="21" t="n"/>
      <c r="D12" s="21" t="n"/>
      <c r="E12" s="21" t="n"/>
      <c r="F12" s="19" t="n"/>
    </row>
    <row r="13" ht="43" customHeight="1">
      <c r="A13" s="20" t="inlineStr">
        <is>
          <t>Budget et financement</t>
        </is>
      </c>
      <c r="B13" s="21" t="n"/>
      <c r="C13" s="21" t="n"/>
      <c r="D13" s="21" t="n"/>
      <c r="E13" s="21" t="n"/>
      <c r="F13" s="19" t="n"/>
    </row>
    <row r="14" ht="43" customHeight="1">
      <c r="A14" s="18" t="inlineStr">
        <is>
          <t>Équipe et coordination</t>
        </is>
      </c>
      <c r="B14" s="21" t="n"/>
      <c r="C14" s="21" t="n"/>
      <c r="D14" s="21" t="n"/>
      <c r="E14" s="21" t="n"/>
      <c r="F14" s="19" t="n"/>
    </row>
    <row r="15" ht="43" customHeight="1">
      <c r="A15" s="20" t="inlineStr">
        <is>
          <t>Suites éditoriales</t>
        </is>
      </c>
      <c r="B15" s="21" t="n"/>
      <c r="C15" s="21" t="n"/>
      <c r="D15" s="21" t="n"/>
      <c r="E15" s="21" t="n"/>
      <c r="F15" s="19" t="n"/>
    </row>
  </sheetData>
  <autoFilter ref="A7:F15"/>
  <mergeCells count="2">
    <mergeCell ref="A4:F5"/>
    <mergeCell ref="A1:F2"/>
  </mergeCells>
  <hyperlinks>
    <hyperlink xmlns:r="http://schemas.openxmlformats.org/officeDocument/2006/relationships" ref="A6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zoomScale="85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110" customWidth="1" min="2" max="2"/>
    <col width="28" customWidth="1" min="3" max="3"/>
  </cols>
  <sheetData>
    <row r="1" ht="24" customHeight="1">
      <c r="A1" s="1" t="inlineStr">
        <is>
          <t>19 / MODE D’EMPLOI</t>
        </is>
      </c>
      <c r="B1" s="2" t="n"/>
      <c r="C1" s="2" t="n"/>
    </row>
    <row r="2" ht="24" customHeight="1">
      <c r="A2" s="2" t="n"/>
      <c r="B2" s="2" t="n"/>
      <c r="C2" s="2" t="n"/>
    </row>
    <row r="3"/>
    <row r="4" ht="22" customHeight="1">
      <c r="A4" s="3" t="inlineStr">
        <is>
          <t>Parcours recommandé : paramètres → budget → tâches → validations → déroulé → résultats.</t>
        </is>
      </c>
    </row>
    <row r="5" ht="18" customHeight="1"/>
    <row r="6">
      <c r="A6" s="4" t="inlineStr">
        <is>
          <t>← TABLEAU DE BORD</t>
        </is>
      </c>
    </row>
    <row r="7" ht="34" customHeight="1">
      <c r="A7" s="5" t="inlineStr">
        <is>
          <t>Sujet</t>
        </is>
      </c>
      <c r="B7" s="5" t="inlineStr">
        <is>
          <t>Instruction</t>
        </is>
      </c>
      <c r="C7" s="5" t="inlineStr">
        <is>
          <t>Onglet</t>
        </is>
      </c>
    </row>
    <row r="8" ht="43" customHeight="1">
      <c r="A8" s="18" t="inlineStr">
        <is>
          <t>Statut</t>
        </is>
      </c>
      <c r="B8" s="18" t="inlineStr">
        <is>
          <t>Projet personnel de conception pour avril 2027. Le 8 avril est une référence non confirmée.</t>
        </is>
      </c>
      <c r="C8" s="36" t="inlineStr">
        <is>
          <t>Paramètres</t>
        </is>
      </c>
    </row>
    <row r="9" ht="43" customHeight="1">
      <c r="A9" s="20" t="inlineStr">
        <is>
          <t>Saisie</t>
        </is>
      </c>
      <c r="B9" s="20" t="inlineStr">
        <is>
          <t>Bleu = saisie, vert = formule liée ; modifier uniquement les valeurs d’entrée.</t>
        </is>
      </c>
      <c r="C9" s="37" t="inlineStr">
        <is>
          <t>Tous</t>
        </is>
      </c>
    </row>
    <row r="10" ht="43" customHeight="1">
      <c r="A10" s="18" t="inlineStr">
        <is>
          <t>Budget</t>
        </is>
      </c>
      <c r="B10" s="18" t="inlineStr">
        <is>
          <t>20 lignes détaillées, total initial 2 310 € TTC, réserve 10 %. Saisir les devis sans les confondre avec les engagements.</t>
        </is>
      </c>
      <c r="C10" s="36" t="inlineStr">
        <is>
          <t>Budget</t>
        </is>
      </c>
    </row>
    <row r="11" ht="43" customHeight="1">
      <c r="A11" s="20" t="inlineStr">
        <is>
          <t>Financement</t>
        </is>
      </c>
      <c r="B11" s="20" t="inlineStr">
        <is>
          <t>Différencier intention, accord écrit et encaissement. Les apports en nature sont hors trésorerie.</t>
        </is>
      </c>
      <c r="C11" s="37" t="inlineStr">
        <is>
          <t>Financements</t>
        </is>
      </c>
    </row>
    <row r="12" ht="43" customHeight="1">
      <c r="A12" s="18" t="inlineStr">
        <is>
          <t>Dépenses</t>
        </is>
      </c>
      <c r="B12" s="18" t="inlineStr">
        <is>
          <t>Registre vierge, une pièce par ligne, ID budget obligatoire. Utiliser 0 pour un montant réel nul.</t>
        </is>
      </c>
      <c r="C12" s="36" t="inlineStr">
        <is>
          <t>Dépenses</t>
        </is>
      </c>
    </row>
    <row r="13" ht="43" customHeight="1">
      <c r="A13" s="20" t="inlineStr">
        <is>
          <t>Planning</t>
        </is>
      </c>
      <c r="B13" s="20" t="inlineStr">
        <is>
          <t>31 tâches à dates relatives, statut et avancement. La date de revue est saisie pour éviter des alertes périmées.</t>
        </is>
      </c>
      <c r="C13" s="37" t="inlineStr">
        <is>
          <t>Rétroplanning</t>
        </is>
      </c>
    </row>
    <row r="14" ht="43" customHeight="1">
      <c r="A14" s="18" t="inlineStr">
        <is>
          <t>Gantt</t>
        </is>
      </c>
      <c r="B14" s="18" t="inlineStr">
        <is>
          <t>Vue à 10 semaines liée au planning. Les couleurs reflètent les statuts, aucune date confirmée implicitement.</t>
        </is>
      </c>
      <c r="C14" s="36" t="inlineStr">
        <is>
          <t>Gantt</t>
        </is>
      </c>
    </row>
    <row r="15" ht="43" customHeight="1">
      <c r="A15" s="20" t="inlineStr">
        <is>
          <t>Dépendances</t>
        </is>
      </c>
      <c r="B15" s="20" t="inlineStr">
        <is>
          <t>Contrôle du prédécesseur principal ; les autres conditions d’ouverture figurent dans Décisions.</t>
        </is>
      </c>
      <c r="C15" s="37" t="inlineStr">
        <is>
          <t>Décisions</t>
        </is>
      </c>
    </row>
    <row r="16" ht="43" customHeight="1">
      <c r="A16" s="18" t="inlineStr">
        <is>
          <t>Résultats</t>
        </is>
      </c>
      <c r="B16" s="18" t="inlineStr">
        <is>
          <t>Inscriptions, entrées et questionnaires sont agrégés et vierges. Aucun contact personnel n’est inclus.</t>
        </is>
      </c>
      <c r="C16" s="36" t="inlineStr">
        <is>
          <t>Indicateurs</t>
        </is>
      </c>
    </row>
    <row r="17" ht="43" customHeight="1">
      <c r="A17" s="20" t="inlineStr">
        <is>
          <t>Capacité</t>
        </is>
      </c>
      <c r="B17" s="20" t="inlineStr">
        <is>
          <t>Comparer les 88 occupants prévus (80 public + 8 équipe) à la capacité vérifiée du lieu.</t>
        </is>
      </c>
      <c r="C17" s="37" t="inlineStr">
        <is>
          <t>Paramètres</t>
        </is>
      </c>
    </row>
    <row r="18" ht="43" customHeight="1">
      <c r="A18" s="18" t="inlineStr">
        <is>
          <t>RACI</t>
        </is>
      </c>
      <c r="B18" s="18" t="inlineStr">
        <is>
          <t>Une personne arbitre chaque action ; attribuer les rôles proposés après constitution de l’équipe.</t>
        </is>
      </c>
      <c r="C18" s="36" t="inlineStr">
        <is>
          <t>RACI</t>
        </is>
      </c>
    </row>
    <row r="19" ht="43" customHeight="1">
      <c r="A19" s="20" t="inlineStr">
        <is>
          <t>Mise à jour</t>
        </is>
      </c>
      <c r="B19" s="20" t="inlineStr">
        <is>
          <t>Après changement de jauge/budget, adapter aussi les PDF de conception et les communications avant diffusion.</t>
        </is>
      </c>
      <c r="C19" s="37" t="inlineStr">
        <is>
          <t>Budget</t>
        </is>
      </c>
    </row>
    <row r="20" ht="43" customHeight="1">
      <c r="A20" s="18" t="inlineStr">
        <is>
          <t>Version</t>
        </is>
      </c>
      <c r="B20" s="18" t="inlineStr">
        <is>
          <t>V2 · 13 octobre 2026 · Farès Benamar. Documents sources et visuels conservés dans le dossier.</t>
        </is>
      </c>
      <c r="C20" s="36" t="inlineStr">
        <is>
          <t>Mode emploi</t>
        </is>
      </c>
    </row>
  </sheetData>
  <autoFilter ref="A7:C20"/>
  <mergeCells count="2">
    <mergeCell ref="A1:C2"/>
    <mergeCell ref="A4:C5"/>
  </mergeCells>
  <hyperlinks>
    <hyperlink xmlns:r="http://schemas.openxmlformats.org/officeDocument/2006/relationships" ref="A6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4" r:id="rId8"/>
    <hyperlink xmlns:r="http://schemas.openxmlformats.org/officeDocument/2006/relationships" ref="C15" r:id="rId9"/>
    <hyperlink xmlns:r="http://schemas.openxmlformats.org/officeDocument/2006/relationships" ref="C16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</hyperlinks>
  <printOptions horizontalCentered="1"/>
  <pageMargins left="0.75" right="0.75" top="1" bottom="1" header="0.5" footer="0.5"/>
  <pageSetup orientation="landscape" paperSize="8" fitToHeight="0" fitToWidth="1"/>
  <headerFooter>
    <oddHeader>&amp;CLes Rencontres de L’Enjeu | Conception · Avril 2027</oddHeader>
    <oddFooter>&amp;LDate, lieu et intervenants à confirmer&amp;RPage &amp;P / &amp;N</oddFooter>
    <evenHeader/>
    <evenFooter/>
    <firstHeader/>
    <firstFooter/>
  </headerFooter>
  <tableParts count="1">
    <tablePart xmlns:r="http://schemas.openxmlformats.org/officeDocument/2006/relationships" r:id="rId15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À faire</t>
        </is>
      </c>
    </row>
    <row r="2">
      <c r="A2" t="inlineStr">
        <is>
          <t>En cours</t>
        </is>
      </c>
    </row>
    <row r="3">
      <c r="A3" t="inlineStr">
        <is>
          <t>Terminé</t>
        </is>
      </c>
    </row>
    <row r="4">
      <c r="A4" t="inlineStr">
        <is>
          <t>Bloqué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Farès Benamar</dc:creator>
  <dc:title xmlns:dc="http://purl.org/dc/elements/1.1/">Les Rencontres de L’Enjeu | Pilotage opérationnel</dc:title>
  <dc:description xmlns:dc="http://purl.org/dc/elements/1.1/">Scénario de conception pour avril 2027. Aucun engagement ni résultat acquis.</dc:description>
  <dcterms:created xmlns:dcterms="http://purl.org/dc/terms/" xmlns:xsi="http://www.w3.org/2001/XMLSchema-instance" xsi:type="dcterms:W3CDTF">2026-10-13T21:26:25Z</dcterms:created>
  <dcterms:modified xmlns:dcterms="http://purl.org/dc/terms/" xmlns:xsi="http://www.w3.org/2001/XMLSchema-instance" xsi:type="dcterms:W3CDTF">2026-10-13T21:26:26Z</dcterms:modified>
</cp:coreProperties>
</file>