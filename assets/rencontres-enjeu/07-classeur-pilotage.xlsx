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emploi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Rétroplanning" sheetId="4" state="visible" r:id="rId4"/>
    <sheet xmlns:r="http://schemas.openxmlformats.org/officeDocument/2006/relationships" name="Déroulé" sheetId="5" state="visible" r:id="rId5"/>
    <sheet xmlns:r="http://schemas.openxmlformats.org/officeDocument/2006/relationships" name="RACI" sheetId="6" state="visible" r:id="rId6"/>
    <sheet xmlns:r="http://schemas.openxmlformats.org/officeDocument/2006/relationships" name="Risques" sheetId="7" state="visible" r:id="rId7"/>
    <sheet xmlns:r="http://schemas.openxmlformats.org/officeDocument/2006/relationships" name="Diffusion" sheetId="8" state="visible" r:id="rId8"/>
    <sheet xmlns:r="http://schemas.openxmlformats.org/officeDocument/2006/relationships" name="Indicateurs" sheetId="9" state="visible" r:id="rId9"/>
    <sheet xmlns:r="http://schemas.openxmlformats.org/officeDocument/2006/relationships" name="Décisions" sheetId="10" state="visible" r:id="rId10"/>
  </sheets>
  <definedNames>
    <definedName name="_xlnm._FilterDatabase" localSheetId="0" hidden="1">'Mode emploi'!$A$1:$B$11</definedName>
    <definedName name="_xlnm.Print_Titles" localSheetId="0">'Mode emploi'!$1:$1</definedName>
    <definedName name="_xlnm._FilterDatabase" localSheetId="1" hidden="1">'Paramètres'!$A$1:$B$6</definedName>
    <definedName name="_xlnm.Print_Titles" localSheetId="1">'Paramètres'!$1:$1</definedName>
    <definedName name="_xlnm._FilterDatabase" localSheetId="2" hidden="1">'Budget'!$A$1:$E$9</definedName>
    <definedName name="_xlnm.Print_Titles" localSheetId="2">'Budget'!$1:$1</definedName>
    <definedName name="_xlnm._FilterDatabase" localSheetId="3" hidden="1">'Rétroplanning'!$A$1:$I$14</definedName>
    <definedName name="_xlnm.Print_Titles" localSheetId="3">'Rétroplanning'!$1:$1</definedName>
    <definedName name="_xlnm._FilterDatabase" localSheetId="4" hidden="1">'Déroulé'!$A$1:$F$15</definedName>
    <definedName name="_xlnm.Print_Titles" localSheetId="4">'Déroulé'!$1:$1</definedName>
    <definedName name="_xlnm._FilterDatabase" localSheetId="5" hidden="1">'RACI'!$A$1:$F$8</definedName>
    <definedName name="_xlnm.Print_Titles" localSheetId="5">'RACI'!$1:$1</definedName>
    <definedName name="_xlnm._FilterDatabase" localSheetId="6" hidden="1">'Risques'!$A$1:$F$9</definedName>
    <definedName name="_xlnm.Print_Titles" localSheetId="6">'Risques'!$1:$1</definedName>
    <definedName name="_xlnm._FilterDatabase" localSheetId="7" hidden="1">'Diffusion'!$A$1:$E$8</definedName>
    <definedName name="_xlnm.Print_Titles" localSheetId="7">'Diffusion'!$1:$1</definedName>
    <definedName name="_xlnm._FilterDatabase" localSheetId="8" hidden="1">'Indicateurs'!$A$1:$C$11</definedName>
    <definedName name="_xlnm.Print_Titles" localSheetId="8">'Indicateurs'!$1:$1</definedName>
    <definedName name="_xlnm._FilterDatabase" localSheetId="9" hidden="1">'Décisions'!$A$1:$E$7</definedName>
    <definedName name="_xlnm.Print_Titles" localSheetId="9">'Décisions'!$1:$1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&quot;€&quot;"/>
    <numFmt numFmtId="167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202720"/>
      <sz val="11"/>
    </font>
    <font>
      <color rgb="00173EC4"/>
    </font>
    <font>
      <name val="Calibri"/>
      <color rgb="00173EC4"/>
      <sz val="11"/>
    </font>
  </fonts>
  <fills count="4">
    <fill>
      <patternFill/>
    </fill>
    <fill>
      <patternFill patternType="gray125"/>
    </fill>
    <fill>
      <patternFill patternType="solid">
        <fgColor rgb="00202720"/>
      </patternFill>
    </fill>
    <fill>
      <patternFill patternType="solid">
        <fgColor rgb="00E8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9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6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 ht="32" customHeight="1">
      <c r="A1" s="1" t="inlineStr">
        <is>
          <t>Repère</t>
        </is>
      </c>
      <c r="B1" s="1" t="inlineStr">
        <is>
          <t>Instruction</t>
        </is>
      </c>
    </row>
    <row r="2" ht="45" customHeight="1">
      <c r="A2" s="2" t="inlineStr">
        <is>
          <t>Statut</t>
        </is>
      </c>
      <c r="B2" s="2" t="inlineStr">
        <is>
          <t>Projet personnel de conception · Événement en préparation</t>
        </is>
      </c>
    </row>
    <row r="3" ht="45" customHeight="1">
      <c r="A3" s="2" t="inlineStr">
        <is>
          <t>Période publique</t>
        </is>
      </c>
      <c r="B3" s="2" t="inlineStr">
        <is>
          <t>Avril 2027 ; date exacte à confirmer</t>
        </is>
      </c>
    </row>
    <row r="4" ht="45" customHeight="1">
      <c r="A4" s="2" t="inlineStr">
        <is>
          <t>Date de travail</t>
        </is>
      </c>
      <c r="B4" s="2" t="inlineStr">
        <is>
          <t>08/04/2027 = référence non confirmée, à modifier après validation</t>
        </is>
      </c>
    </row>
    <row r="5" ht="45" customHeight="1">
      <c r="A5" s="2" t="inlineStr">
        <is>
          <t>Cellules bleues</t>
        </is>
      </c>
      <c r="B5" s="2" t="inlineStr">
        <is>
          <t>Données ou hypothèses modifiables</t>
        </is>
      </c>
    </row>
    <row r="6" ht="45" customHeight="1">
      <c r="A6" s="2" t="inlineStr">
        <is>
          <t>Formules</t>
        </is>
      </c>
      <c r="B6" s="2" t="inlineStr">
        <is>
          <t>Calcul automatique à l’ouverture dans un tableur compatible</t>
        </is>
      </c>
    </row>
    <row r="7" ht="45" customHeight="1">
      <c r="A7" s="2" t="inlineStr">
        <is>
          <t>Données inconnues</t>
        </is>
      </c>
      <c r="B7" s="2" t="inlineStr">
        <is>
          <t>Ne pas remplacer les cellules de résultats vides par des résultats fictifs</t>
        </is>
      </c>
    </row>
    <row r="8" ht="45" customHeight="1">
      <c r="A8" s="2" t="inlineStr">
        <is>
          <t>Budget</t>
        </is>
      </c>
      <c r="B8" s="2" t="inlineStr">
        <is>
          <t>Tous les montants sont des hypothèses TTC à confirmer par devis</t>
        </is>
      </c>
    </row>
    <row r="9" ht="45" customHeight="1">
      <c r="A9" s="2" t="inlineStr">
        <is>
          <t>Rétroplanning</t>
        </is>
      </c>
      <c r="B9" s="2" t="inlineStr">
        <is>
          <t>Dates calculées depuis la cellule B2 de la feuille Paramètres</t>
        </is>
      </c>
    </row>
    <row r="10" ht="45" customHeight="1">
      <c r="A10" s="2" t="inlineStr">
        <is>
          <t>Données personnelles</t>
        </is>
      </c>
      <c r="B10" s="2" t="inlineStr">
        <is>
          <t>Ce modèle ne contient aucune liste de participants</t>
        </is>
      </c>
    </row>
    <row r="11" ht="45" customHeight="1">
      <c r="A11" s="2" t="inlineStr">
        <is>
          <t>Version</t>
        </is>
      </c>
      <c r="B11" s="2" t="inlineStr">
        <is>
          <t>V1.0 · 13 octobre 2026 · Farès Benamar</t>
        </is>
      </c>
    </row>
  </sheetData>
  <autoFilter ref="A1:B1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 ht="32" customHeight="1">
      <c r="A1" s="1" t="inlineStr">
        <is>
          <t>Paramètre</t>
        </is>
      </c>
      <c r="B1" s="1" t="inlineStr">
        <is>
          <t>Valeur</t>
        </is>
      </c>
    </row>
    <row r="2" ht="45" customHeight="1">
      <c r="A2" s="2" t="inlineStr">
        <is>
          <t>Date de référence</t>
        </is>
      </c>
      <c r="B2" s="3" t="n">
        <v>46485</v>
      </c>
    </row>
    <row r="3" ht="45" customHeight="1">
      <c r="A3" s="2" t="inlineStr">
        <is>
          <t>Participants visés</t>
        </is>
      </c>
      <c r="B3" s="4" t="n">
        <v>80</v>
      </c>
    </row>
    <row r="4" ht="45" customHeight="1">
      <c r="A4" s="2" t="inlineStr">
        <is>
          <t>Capacité minimale salle</t>
        </is>
      </c>
      <c r="B4" s="4" t="n">
        <v>100</v>
      </c>
    </row>
    <row r="5" ht="45" customHeight="1">
      <c r="A5" s="2" t="inlineStr">
        <is>
          <t>Équipe maximale</t>
        </is>
      </c>
      <c r="B5" s="4" t="n">
        <v>8</v>
      </c>
    </row>
    <row r="6" ht="45" customHeight="1">
      <c r="A6" s="2" t="inlineStr">
        <is>
          <t>Statut</t>
        </is>
      </c>
      <c r="B6" s="2" t="inlineStr">
        <is>
          <t>Date de référence non confirmée ; diffusion publique : avril 2027</t>
        </is>
      </c>
    </row>
  </sheetData>
  <autoFilter ref="A1:B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20" customWidth="1" min="4" max="4"/>
    <col width="85" customWidth="1" min="5" max="5"/>
  </cols>
  <sheetData>
    <row r="1" ht="32" customHeight="1">
      <c r="A1" s="1" t="inlineStr">
        <is>
          <t>Poste</t>
        </is>
      </c>
      <c r="B1" s="1" t="inlineStr">
        <is>
          <t>Quantité</t>
        </is>
      </c>
      <c r="C1" s="1" t="inlineStr">
        <is>
          <t>Prix unitaire TTC</t>
        </is>
      </c>
      <c r="D1" s="1" t="inlineStr">
        <is>
          <t>Total TTC</t>
        </is>
      </c>
      <c r="E1" s="1" t="inlineStr">
        <is>
          <t>Hypothèse / validation</t>
        </is>
      </c>
    </row>
    <row r="2" ht="45" customHeight="1">
      <c r="A2" s="2" t="inlineStr">
        <is>
          <t>Location de salle</t>
        </is>
      </c>
      <c r="B2" s="5" t="n">
        <v>1</v>
      </c>
      <c r="C2" s="6" t="n">
        <v>600</v>
      </c>
      <c r="D2" s="7">
        <f>B2*C2</f>
        <v/>
      </c>
      <c r="E2" s="2" t="inlineStr">
        <is>
          <t>Hypothèse ; capacité 100 personnes et accessibilité à confirmer</t>
        </is>
      </c>
    </row>
    <row r="3" ht="45" customHeight="1">
      <c r="A3" s="2" t="inlineStr">
        <is>
          <t>Sonorisation et régie</t>
        </is>
      </c>
      <c r="B3" s="5" t="n">
        <v>1</v>
      </c>
      <c r="C3" s="6" t="n">
        <v>450</v>
      </c>
      <c r="D3" s="7">
        <f>B3*C3</f>
        <v/>
      </c>
      <c r="E3" s="2" t="inlineStr">
        <is>
          <t>Deux micros, diffusion sonore, technicien selon devis</t>
        </is>
      </c>
    </row>
    <row r="4" ht="45" customHeight="1">
      <c r="A4" s="2" t="inlineStr">
        <is>
          <t>Interventions et modération</t>
        </is>
      </c>
      <c r="B4" s="5" t="n">
        <v>1</v>
      </c>
      <c r="C4" s="6" t="n">
        <v>300</v>
      </c>
      <c r="D4" s="7">
        <f>B4*C4</f>
        <v/>
      </c>
      <c r="E4" s="2" t="inlineStr">
        <is>
          <t>Enveloppe globale indicative ; conditions à convenir</t>
        </is>
      </c>
    </row>
    <row r="5" ht="45" customHeight="1">
      <c r="A5" s="2" t="inlineStr">
        <is>
          <t>Collation légère</t>
        </is>
      </c>
      <c r="B5" s="2">
        <f>'Paramètres'!B3</f>
        <v/>
      </c>
      <c r="C5" s="6" t="n">
        <v>3</v>
      </c>
      <c r="D5" s="7">
        <f>B5*C5</f>
        <v/>
      </c>
      <c r="E5" s="2" t="inlineStr">
        <is>
          <t>Hypothèse par participant ; eau et boissons sans alcool</t>
        </is>
      </c>
    </row>
    <row r="6" ht="45" customHeight="1">
      <c r="A6" s="2" t="inlineStr">
        <is>
          <t>Impression et signalétique</t>
        </is>
      </c>
      <c r="B6" s="5" t="n">
        <v>1</v>
      </c>
      <c r="C6" s="6" t="n">
        <v>90</v>
      </c>
      <c r="D6" s="7">
        <f>B6*C6</f>
        <v/>
      </c>
      <c r="E6" s="2" t="inlineStr">
        <is>
          <t>Affiches, programme et repères d’accueil</t>
        </is>
      </c>
    </row>
    <row r="7" ht="45" customHeight="1">
      <c r="A7" s="2" t="inlineStr">
        <is>
          <t>Assurance et frais administratifs</t>
        </is>
      </c>
      <c r="B7" s="5" t="n">
        <v>1</v>
      </c>
      <c r="C7" s="6" t="n">
        <v>120</v>
      </c>
      <c r="D7" s="7">
        <f>B7*C7</f>
        <v/>
      </c>
      <c r="E7" s="2" t="inlineStr">
        <is>
          <t>Hypothèse à préciser avec la structure porteuse</t>
        </is>
      </c>
    </row>
    <row r="8" ht="45" customHeight="1">
      <c r="A8" s="2" t="inlineStr">
        <is>
          <t>Accessibilité et adaptations</t>
        </is>
      </c>
      <c r="B8" s="5" t="n">
        <v>1</v>
      </c>
      <c r="C8" s="6" t="n">
        <v>120</v>
      </c>
      <c r="D8" s="7">
        <f>B8*C8</f>
        <v/>
      </c>
      <c r="E8" s="2" t="inlineStr">
        <is>
          <t>Provision ; besoins à recueillir avant l’événement</t>
        </is>
      </c>
    </row>
    <row r="9" ht="45" customHeight="1">
      <c r="A9" s="2" t="inlineStr">
        <is>
          <t>Photographie / documentation</t>
        </is>
      </c>
      <c r="B9" s="5" t="n">
        <v>1</v>
      </c>
      <c r="C9" s="6" t="n">
        <v>180</v>
      </c>
      <c r="D9" s="7">
        <f>B9*C9</f>
        <v/>
      </c>
      <c r="E9" s="2" t="inlineStr">
        <is>
          <t>Option selon devis et consentement des personnes</t>
        </is>
      </c>
    </row>
    <row r="10">
      <c r="A10" s="2" t="inlineStr">
        <is>
          <t>Sous-total</t>
        </is>
      </c>
      <c r="B10" s="5" t="inlineStr"/>
      <c r="C10" s="6" t="inlineStr"/>
      <c r="D10" s="7">
        <f>SUM(D2:D9)</f>
        <v/>
      </c>
      <c r="E10" s="2" t="inlineStr">
        <is>
          <t>Hypothèses, pas des dépenses engagées</t>
        </is>
      </c>
    </row>
    <row r="11">
      <c r="A11" s="2" t="inlineStr">
        <is>
          <t>Réserve</t>
        </is>
      </c>
      <c r="B11" s="8" t="n">
        <v>0.1</v>
      </c>
      <c r="C11" s="6" t="inlineStr"/>
      <c r="D11" s="7">
        <f>ROUND(D10*B11,2)</f>
        <v/>
      </c>
      <c r="E11" s="2" t="inlineStr">
        <is>
          <t>Taux modifiable</t>
        </is>
      </c>
    </row>
    <row r="12">
      <c r="A12" s="2" t="inlineStr">
        <is>
          <t>Total prévisionnel</t>
        </is>
      </c>
      <c r="B12" s="5" t="inlineStr"/>
      <c r="C12" s="6" t="inlineStr"/>
      <c r="D12" s="7">
        <f>D10+D11</f>
        <v/>
      </c>
      <c r="E12" s="2" t="inlineStr">
        <is>
          <t>Montants TTC à confirmer</t>
        </is>
      </c>
    </row>
    <row r="13">
      <c r="A13" s="2" t="inlineStr">
        <is>
          <t>Plafond de travail</t>
        </is>
      </c>
      <c r="B13" s="5" t="inlineStr"/>
      <c r="C13" s="6" t="inlineStr"/>
      <c r="D13" s="7" t="n">
        <v>2500</v>
      </c>
      <c r="E13" s="2" t="inlineStr">
        <is>
          <t>À valider avant engagement</t>
        </is>
      </c>
    </row>
    <row r="14">
      <c r="A14" s="2" t="inlineStr">
        <is>
          <t>Marge disponible</t>
        </is>
      </c>
      <c r="B14" s="5" t="inlineStr"/>
      <c r="C14" s="6" t="inlineStr"/>
      <c r="D14" s="7">
        <f>D13-D12</f>
        <v/>
      </c>
      <c r="E14" s="2" t="inlineStr">
        <is>
          <t>Peut devenir négative après modification des hypothèses</t>
        </is>
      </c>
    </row>
    <row r="15">
      <c r="A15" s="2" t="inlineStr">
        <is>
          <t>Contribution envisagée</t>
        </is>
      </c>
      <c r="B15" s="5" t="inlineStr"/>
      <c r="C15" s="6" t="inlineStr"/>
      <c r="D15" s="7" t="n">
        <v>1500</v>
      </c>
      <c r="E15" s="2" t="inlineStr">
        <is>
          <t>Scénario non validé ; aucun financement acquis</t>
        </is>
      </c>
    </row>
    <row r="16">
      <c r="A16" s="2" t="inlineStr">
        <is>
          <t>Solde à financer</t>
        </is>
      </c>
      <c r="B16" s="5" t="inlineStr"/>
      <c r="C16" s="6" t="inlineStr"/>
      <c r="D16" s="7">
        <f>MAX(0,D12-D15)</f>
        <v/>
      </c>
      <c r="E16" s="2" t="inlineStr">
        <is>
          <t>À couvrir ou arbitrer, sans partenaire confirmé</t>
        </is>
      </c>
    </row>
  </sheetData>
  <autoFilter ref="A1:E9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75" customWidth="1" min="4" max="4"/>
    <col width="30" customWidth="1" min="5" max="5"/>
    <col width="45" customWidth="1" min="6" max="6"/>
    <col width="20" customWidth="1" min="7" max="7"/>
    <col width="20" customWidth="1" min="8" max="8"/>
    <col width="20" customWidth="1" min="9" max="9"/>
  </cols>
  <sheetData>
    <row r="1" ht="32" customHeight="1">
      <c r="A1" s="1" t="inlineStr">
        <is>
          <t>Début relatif</t>
        </is>
      </c>
      <c r="B1" s="1" t="inlineStr">
        <is>
          <t>Fin relative</t>
        </is>
      </c>
      <c r="C1" s="1" t="inlineStr">
        <is>
          <t>Phase</t>
        </is>
      </c>
      <c r="D1" s="1" t="inlineStr">
        <is>
          <t>Action</t>
        </is>
      </c>
      <c r="E1" s="1" t="inlineStr">
        <is>
          <t>Pilote proposé</t>
        </is>
      </c>
      <c r="F1" s="1" t="inlineStr">
        <is>
          <t>Livrable</t>
        </is>
      </c>
      <c r="G1" s="1" t="inlineStr">
        <is>
          <t>Statut</t>
        </is>
      </c>
      <c r="H1" s="1" t="inlineStr">
        <is>
          <t>Début calculé</t>
        </is>
      </c>
      <c r="I1" s="1" t="inlineStr">
        <is>
          <t>Fin calculée</t>
        </is>
      </c>
    </row>
    <row r="2" ht="45" customHeight="1">
      <c r="A2" s="2" t="n">
        <v>-56</v>
      </c>
      <c r="B2" s="2" t="n">
        <v>-49</v>
      </c>
      <c r="C2" s="2" t="inlineStr">
        <is>
          <t>Cadrage</t>
        </is>
      </c>
      <c r="D2" s="2" t="inlineStr">
        <is>
          <t>Valider le concept, le public et l’enveloppe</t>
        </is>
      </c>
      <c r="E2" s="2" t="inlineStr">
        <is>
          <t>Responsable projet</t>
        </is>
      </c>
      <c r="F2" s="2" t="inlineStr">
        <is>
          <t>Dossier de conception</t>
        </is>
      </c>
      <c r="G2" s="2" t="inlineStr">
        <is>
          <t>À valider</t>
        </is>
      </c>
      <c r="H2" s="9">
        <f>'Paramètres'!$B$2+A2</f>
        <v/>
      </c>
      <c r="I2" s="9">
        <f>'Paramètres'!$B$2+B2</f>
        <v/>
      </c>
    </row>
    <row r="3" ht="45" customHeight="1">
      <c r="A3" s="2" t="n">
        <v>-49</v>
      </c>
      <c r="B3" s="2" t="n">
        <v>-42</v>
      </c>
      <c r="C3" s="2" t="inlineStr">
        <is>
          <t>Lieu</t>
        </is>
      </c>
      <c r="D3" s="2" t="inlineStr">
        <is>
          <t>Comparer les lieux, les accès et les devis</t>
        </is>
      </c>
      <c r="E3" s="2" t="inlineStr">
        <is>
          <t>Logistique</t>
        </is>
      </c>
      <c r="F3" s="2" t="inlineStr">
        <is>
          <t>Fiche lieu et devis</t>
        </is>
      </c>
      <c r="G3" s="2" t="inlineStr">
        <is>
          <t>À lancer</t>
        </is>
      </c>
      <c r="H3" s="9">
        <f>'Paramètres'!$B$2+A3</f>
        <v/>
      </c>
      <c r="I3" s="9">
        <f>'Paramètres'!$B$2+B3</f>
        <v/>
      </c>
    </row>
    <row r="4" ht="45" customHeight="1">
      <c r="A4" s="2" t="n">
        <v>-42</v>
      </c>
      <c r="B4" s="2" t="n">
        <v>-35</v>
      </c>
      <c r="C4" s="2" t="inlineStr">
        <is>
          <t>Programme</t>
        </is>
      </c>
      <c r="D4" s="2" t="inlineStr">
        <is>
          <t>Identifier puis confirmer les deux intervenants et la modération</t>
        </is>
      </c>
      <c r="E4" s="2" t="inlineStr">
        <is>
          <t>Éditorial</t>
        </is>
      </c>
      <c r="F4" s="2" t="inlineStr">
        <is>
          <t>Accords écrits et biographies</t>
        </is>
      </c>
      <c r="G4" s="2" t="inlineStr">
        <is>
          <t>À lancer</t>
        </is>
      </c>
      <c r="H4" s="9">
        <f>'Paramètres'!$B$2+A4</f>
        <v/>
      </c>
      <c r="I4" s="9">
        <f>'Paramètres'!$B$2+B4</f>
        <v/>
      </c>
    </row>
    <row r="5" ht="45" customHeight="1">
      <c r="A5" s="2" t="n">
        <v>-42</v>
      </c>
      <c r="B5" s="2" t="n">
        <v>-28</v>
      </c>
      <c r="C5" s="2" t="inlineStr">
        <is>
          <t>Technique</t>
        </is>
      </c>
      <c r="D5" s="2" t="inlineStr">
        <is>
          <t>Confirmer salle, assurance, besoins audio et accessibilité</t>
        </is>
      </c>
      <c r="E5" s="2" t="inlineStr">
        <is>
          <t>Logistique / régie</t>
        </is>
      </c>
      <c r="F5" s="2" t="inlineStr">
        <is>
          <t>Fiche technique</t>
        </is>
      </c>
      <c r="G5" s="2" t="inlineStr">
        <is>
          <t>À lancer</t>
        </is>
      </c>
      <c r="H5" s="9">
        <f>'Paramètres'!$B$2+A5</f>
        <v/>
      </c>
      <c r="I5" s="9">
        <f>'Paramètres'!$B$2+B5</f>
        <v/>
      </c>
    </row>
    <row r="6" ht="45" customHeight="1">
      <c r="A6" s="2" t="n">
        <v>-35</v>
      </c>
      <c r="B6" s="2" t="n">
        <v>-28</v>
      </c>
      <c r="C6" s="2" t="inlineStr">
        <is>
          <t>Supports</t>
        </is>
      </c>
      <c r="D6" s="2" t="inlineStr">
        <is>
          <t>Adapter affiche, invitation et page aux informations confirmées</t>
        </is>
      </c>
      <c r="E6" s="2" t="inlineStr">
        <is>
          <t>Communication</t>
        </is>
      </c>
      <c r="F6" s="2" t="inlineStr">
        <is>
          <t>Supports validés</t>
        </is>
      </c>
      <c r="G6" s="2" t="inlineStr">
        <is>
          <t>À préparer</t>
        </is>
      </c>
      <c r="H6" s="9">
        <f>'Paramètres'!$B$2+A6</f>
        <v/>
      </c>
      <c r="I6" s="9">
        <f>'Paramètres'!$B$2+B6</f>
        <v/>
      </c>
    </row>
    <row r="7" ht="45" customHeight="1">
      <c r="A7" s="2" t="n">
        <v>-28</v>
      </c>
      <c r="B7" s="2" t="n">
        <v>-21</v>
      </c>
      <c r="C7" s="2" t="inlineStr">
        <is>
          <t>Inscriptions</t>
        </is>
      </c>
      <c r="D7" s="2" t="inlineStr">
        <is>
          <t>Ouvrir le formulaire et annoncer le rendez-vous</t>
        </is>
      </c>
      <c r="E7" s="2" t="inlineStr">
        <is>
          <t>Communication / accueil</t>
        </is>
      </c>
      <c r="F7" s="2" t="inlineStr">
        <is>
          <t>Page et formulaire validés</t>
        </is>
      </c>
      <c r="G7" s="2" t="inlineStr">
        <is>
          <t>Non ouvert</t>
        </is>
      </c>
      <c r="H7" s="9">
        <f>'Paramètres'!$B$2+A7</f>
        <v/>
      </c>
      <c r="I7" s="9">
        <f>'Paramètres'!$B$2+B7</f>
        <v/>
      </c>
    </row>
    <row r="8" ht="45" customHeight="1">
      <c r="A8" s="2" t="n">
        <v>-21</v>
      </c>
      <c r="B8" s="2" t="n">
        <v>-14</v>
      </c>
      <c r="C8" s="2" t="inlineStr">
        <is>
          <t>Relais</t>
        </is>
      </c>
      <c r="D8" s="2" t="inlineStr">
        <is>
          <t>Diffuser les messages et solliciter les relais pertinents</t>
        </is>
      </c>
      <c r="E8" s="2" t="inlineStr">
        <is>
          <t>Communication</t>
        </is>
      </c>
      <c r="F8" s="2" t="inlineStr">
        <is>
          <t>Suivi des canaux</t>
        </is>
      </c>
      <c r="G8" s="2" t="inlineStr">
        <is>
          <t>À préparer</t>
        </is>
      </c>
      <c r="H8" s="9">
        <f>'Paramètres'!$B$2+A8</f>
        <v/>
      </c>
      <c r="I8" s="9">
        <f>'Paramètres'!$B$2+B8</f>
        <v/>
      </c>
    </row>
    <row r="9" ht="45" customHeight="1">
      <c r="A9" s="2" t="n">
        <v>-14</v>
      </c>
      <c r="B9" s="2" t="n">
        <v>-7</v>
      </c>
      <c r="C9" s="2" t="inlineStr">
        <is>
          <t>Conduite</t>
        </is>
      </c>
      <c r="D9" s="2" t="inlineStr">
        <is>
          <t>Brief des intervenants et validation du déroulé</t>
        </is>
      </c>
      <c r="E9" s="2" t="inlineStr">
        <is>
          <t>Responsable projet</t>
        </is>
      </c>
      <c r="F9" s="2" t="inlineStr">
        <is>
          <t>Conducteur partagé</t>
        </is>
      </c>
      <c r="G9" s="2" t="inlineStr">
        <is>
          <t>À préparer</t>
        </is>
      </c>
      <c r="H9" s="9">
        <f>'Paramètres'!$B$2+A9</f>
        <v/>
      </c>
      <c r="I9" s="9">
        <f>'Paramètres'!$B$2+B9</f>
        <v/>
      </c>
    </row>
    <row r="10" ht="45" customHeight="1">
      <c r="A10" s="2" t="n">
        <v>-7</v>
      </c>
      <c r="B10" s="2" t="n">
        <v>-2</v>
      </c>
      <c r="C10" s="2" t="inlineStr">
        <is>
          <t>Accueil</t>
        </is>
      </c>
      <c r="D10" s="2" t="inlineStr">
        <is>
          <t>Vérifier les inscrits, les besoins et les confirmations</t>
        </is>
      </c>
      <c r="E10" s="2" t="inlineStr">
        <is>
          <t>Accueil</t>
        </is>
      </c>
      <c r="F10" s="2" t="inlineStr">
        <is>
          <t>Liste d’accueil à accès limité</t>
        </is>
      </c>
      <c r="G10" s="2" t="inlineStr">
        <is>
          <t>À préparer</t>
        </is>
      </c>
      <c r="H10" s="9">
        <f>'Paramètres'!$B$2+A10</f>
        <v/>
      </c>
      <c r="I10" s="9">
        <f>'Paramètres'!$B$2+B10</f>
        <v/>
      </c>
    </row>
    <row r="11" ht="45" customHeight="1">
      <c r="A11" s="2" t="n">
        <v>-2</v>
      </c>
      <c r="B11" s="2" t="n">
        <v>-1</v>
      </c>
      <c r="C11" s="2" t="inlineStr">
        <is>
          <t>Répétition</t>
        </is>
      </c>
      <c r="D11" s="2" t="inlineStr">
        <is>
          <t>Tester matériel et consignes avec l’équipe</t>
        </is>
      </c>
      <c r="E11" s="2" t="inlineStr">
        <is>
          <t>Régie / logistique</t>
        </is>
      </c>
      <c r="F11" s="2" t="inlineStr">
        <is>
          <t>Check-list technique</t>
        </is>
      </c>
      <c r="G11" s="2" t="inlineStr">
        <is>
          <t>À préparer</t>
        </is>
      </c>
      <c r="H11" s="9">
        <f>'Paramètres'!$B$2+A11</f>
        <v/>
      </c>
      <c r="I11" s="9">
        <f>'Paramètres'!$B$2+B11</f>
        <v/>
      </c>
    </row>
    <row r="12" ht="45" customHeight="1">
      <c r="A12" s="2" t="n">
        <v>0</v>
      </c>
      <c r="B12" s="2" t="n">
        <v>0</v>
      </c>
      <c r="C12" s="2" t="inlineStr">
        <is>
          <t>Événement</t>
        </is>
      </c>
      <c r="D12" s="2" t="inlineStr">
        <is>
          <t>Déployer le conducteur, accueillir et documenter</t>
        </is>
      </c>
      <c r="E12" s="2" t="inlineStr">
        <is>
          <t>Équipe complète</t>
        </is>
      </c>
      <c r="F12" s="2" t="inlineStr">
        <is>
          <t>Journal des écarts</t>
        </is>
      </c>
      <c r="G12" s="2" t="inlineStr">
        <is>
          <t>Non réalisé</t>
        </is>
      </c>
      <c r="H12" s="9">
        <f>'Paramètres'!$B$2+A12</f>
        <v/>
      </c>
      <c r="I12" s="9">
        <f>'Paramètres'!$B$2+B12</f>
        <v/>
      </c>
    </row>
    <row r="13" ht="45" customHeight="1">
      <c r="A13" s="2" t="n">
        <v>1</v>
      </c>
      <c r="B13" s="2" t="n">
        <v>3</v>
      </c>
      <c r="C13" s="2" t="inlineStr">
        <is>
          <t>Retour</t>
        </is>
      </c>
      <c r="D13" s="2" t="inlineStr">
        <is>
          <t>Envoyer remerciement, questionnaire et ressources</t>
        </is>
      </c>
      <c r="E13" s="2" t="inlineStr">
        <is>
          <t>Communication</t>
        </is>
      </c>
      <c r="F13" s="2" t="inlineStr">
        <is>
          <t>Message et questionnaire</t>
        </is>
      </c>
      <c r="G13" s="2" t="inlineStr">
        <is>
          <t>À préparer</t>
        </is>
      </c>
      <c r="H13" s="9">
        <f>'Paramètres'!$B$2+A13</f>
        <v/>
      </c>
      <c r="I13" s="9">
        <f>'Paramètres'!$B$2+B13</f>
        <v/>
      </c>
    </row>
    <row r="14" ht="45" customHeight="1">
      <c r="A14" s="2" t="n">
        <v>3</v>
      </c>
      <c r="B14" s="2" t="n">
        <v>7</v>
      </c>
      <c r="C14" s="2" t="inlineStr">
        <is>
          <t>Bilan</t>
        </is>
      </c>
      <c r="D14" s="2" t="inlineStr">
        <is>
          <t>Rapprocher dépenses, fréquentation et retours</t>
        </is>
      </c>
      <c r="E14" s="2" t="inlineStr">
        <is>
          <t>Responsable projet</t>
        </is>
      </c>
      <c r="F14" s="2" t="inlineStr">
        <is>
          <t>Bilan factuel et suites</t>
        </is>
      </c>
      <c r="G14" s="2" t="inlineStr">
        <is>
          <t>Non mesuré</t>
        </is>
      </c>
      <c r="H14" s="9">
        <f>'Paramètres'!$B$2+A14</f>
        <v/>
      </c>
      <c r="I14" s="9">
        <f>'Paramètres'!$B$2+B14</f>
        <v/>
      </c>
    </row>
  </sheetData>
  <autoFilter ref="A1:I14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0" customWidth="1" min="4" max="4"/>
    <col width="55" customWidth="1" min="5" max="5"/>
    <col width="85" customWidth="1" min="6" max="6"/>
  </cols>
  <sheetData>
    <row r="1" ht="32" customHeight="1">
      <c r="A1" s="1" t="inlineStr">
        <is>
          <t>Début</t>
        </is>
      </c>
      <c r="B1" s="1" t="inlineStr">
        <is>
          <t>Fin</t>
        </is>
      </c>
      <c r="C1" s="1" t="inlineStr">
        <is>
          <t>Séquence</t>
        </is>
      </c>
      <c r="D1" s="1" t="inlineStr">
        <is>
          <t>Pilote proposé</t>
        </is>
      </c>
      <c r="E1" s="1" t="inlineStr">
        <is>
          <t>Préparation</t>
        </is>
      </c>
      <c r="F1" s="1" t="inlineStr">
        <is>
          <t>Vigilance</t>
        </is>
      </c>
    </row>
    <row r="2" ht="45" customHeight="1">
      <c r="A2" s="2" t="inlineStr">
        <is>
          <t>16:00</t>
        </is>
      </c>
      <c r="B2" s="2" t="inlineStr">
        <is>
          <t>16:45</t>
        </is>
      </c>
      <c r="C2" s="2" t="inlineStr">
        <is>
          <t>Installation</t>
        </is>
      </c>
      <c r="D2" s="2" t="inlineStr">
        <is>
          <t>Logistique / régie</t>
        </is>
      </c>
      <c r="E2" s="2" t="inlineStr">
        <is>
          <t>Salle, flux, sonorisation, signalétique</t>
        </is>
      </c>
      <c r="F2" s="2" t="inlineStr">
        <is>
          <t>Vérifier accès, issues et capacité avec le lieu</t>
        </is>
      </c>
    </row>
    <row r="3" ht="45" customHeight="1">
      <c r="A3" s="2" t="inlineStr">
        <is>
          <t>16:45</t>
        </is>
      </c>
      <c r="B3" s="2" t="inlineStr">
        <is>
          <t>17:15</t>
        </is>
      </c>
      <c r="C3" s="2" t="inlineStr">
        <is>
          <t>Tests techniques</t>
        </is>
      </c>
      <c r="D3" s="2" t="inlineStr">
        <is>
          <t>Régie</t>
        </is>
      </c>
      <c r="E3" s="2" t="inlineStr">
        <is>
          <t>Micros, niveaux, présentation</t>
        </is>
      </c>
      <c r="F3" s="2" t="inlineStr">
        <is>
          <t>Tester le plan de secours sans projection</t>
        </is>
      </c>
    </row>
    <row r="4" ht="45" customHeight="1">
      <c r="A4" s="2" t="inlineStr">
        <is>
          <t>17:15</t>
        </is>
      </c>
      <c r="B4" s="2" t="inlineStr">
        <is>
          <t>17:45</t>
        </is>
      </c>
      <c r="C4" s="2" t="inlineStr">
        <is>
          <t>Brief équipe</t>
        </is>
      </c>
      <c r="D4" s="2" t="inlineStr">
        <is>
          <t>Responsable projet</t>
        </is>
      </c>
      <c r="E4" s="2" t="inlineStr">
        <is>
          <t>Rôles, accueil, incidents, consentement</t>
        </is>
      </c>
      <c r="F4" s="2" t="inlineStr">
        <is>
          <t>Rappeler les responsables du lieu et les contacts</t>
        </is>
      </c>
    </row>
    <row r="5" ht="45" customHeight="1">
      <c r="A5" s="2" t="inlineStr">
        <is>
          <t>17:45</t>
        </is>
      </c>
      <c r="B5" s="2" t="inlineStr">
        <is>
          <t>18:15</t>
        </is>
      </c>
      <c r="C5" s="2" t="inlineStr">
        <is>
          <t>Brief intervenants</t>
        </is>
      </c>
      <c r="D5" s="2" t="inlineStr">
        <is>
          <t>Éditorial / modération</t>
        </is>
      </c>
      <c r="E5" s="2" t="inlineStr">
        <is>
          <t>Fil conducteur et timing</t>
        </is>
      </c>
      <c r="F5" s="2" t="inlineStr">
        <is>
          <t>Confirmer les noms seulement après accord</t>
        </is>
      </c>
    </row>
    <row r="6" ht="45" customHeight="1">
      <c r="A6" s="2" t="inlineStr">
        <is>
          <t>18:15</t>
        </is>
      </c>
      <c r="B6" s="2" t="inlineStr">
        <is>
          <t>18:30</t>
        </is>
      </c>
      <c r="C6" s="2" t="inlineStr">
        <is>
          <t>Mise en place accueil</t>
        </is>
      </c>
      <c r="D6" s="2" t="inlineStr">
        <is>
          <t>Accueil</t>
        </is>
      </c>
      <c r="E6" s="2" t="inlineStr">
        <is>
          <t>Liste, badges et supports</t>
        </is>
      </c>
      <c r="F6" s="2" t="inlineStr">
        <is>
          <t>Installer une file accessible et éviter l’affichage des coordonnées</t>
        </is>
      </c>
    </row>
    <row r="7" ht="45" customHeight="1">
      <c r="A7" s="2" t="inlineStr">
        <is>
          <t>18:30</t>
        </is>
      </c>
      <c r="B7" s="2" t="inlineStr">
        <is>
          <t>19:00</t>
        </is>
      </c>
      <c r="C7" s="2" t="inlineStr">
        <is>
          <t>Accueil du public</t>
        </is>
      </c>
      <c r="D7" s="2" t="inlineStr">
        <is>
          <t>Accueil / logistique</t>
        </is>
      </c>
      <c r="E7" s="2" t="inlineStr">
        <is>
          <t>Orientation et installation</t>
        </is>
      </c>
      <c r="F7" s="2" t="inlineStr">
        <is>
          <t>Noter le nombre d’entrées, sans double comptage</t>
        </is>
      </c>
    </row>
    <row r="8" ht="45" customHeight="1">
      <c r="A8" s="2" t="inlineStr">
        <is>
          <t>19:00</t>
        </is>
      </c>
      <c r="B8" s="2" t="inlineStr">
        <is>
          <t>19:10</t>
        </is>
      </c>
      <c r="C8" s="2" t="inlineStr">
        <is>
          <t>Ouverture</t>
        </is>
      </c>
      <c r="D8" s="2" t="inlineStr">
        <is>
          <t>Responsable projet / modération</t>
        </is>
      </c>
      <c r="E8" s="2" t="inlineStr">
        <is>
          <t>Intention et règles d’échange</t>
        </is>
      </c>
      <c r="F8" s="2" t="inlineStr">
        <is>
          <t>Présenter les intervenants confirmés</t>
        </is>
      </c>
    </row>
    <row r="9" ht="45" customHeight="1">
      <c r="A9" s="2" t="inlineStr">
        <is>
          <t>19:10</t>
        </is>
      </c>
      <c r="B9" s="2" t="inlineStr">
        <is>
          <t>19:45</t>
        </is>
      </c>
      <c r="C9" s="2" t="inlineStr">
        <is>
          <t>Table ronde</t>
        </is>
      </c>
      <c r="D9" s="2" t="inlineStr">
        <is>
          <t>Modération + deux intervenants</t>
        </is>
      </c>
      <c r="E9" s="2" t="inlineStr">
        <is>
          <t>Réseaux sociaux, sources et IA</t>
        </is>
      </c>
      <c r="F9" s="2" t="inlineStr">
        <is>
          <t>Limiter les prises de parole et distinguer faits et opinions</t>
        </is>
      </c>
    </row>
    <row r="10" ht="45" customHeight="1">
      <c r="A10" s="2" t="inlineStr">
        <is>
          <t>19:45</t>
        </is>
      </c>
      <c r="B10" s="2" t="inlineStr">
        <is>
          <t>20:10</t>
        </is>
      </c>
      <c r="C10" s="2" t="inlineStr">
        <is>
          <t>Questions du public</t>
        </is>
      </c>
      <c r="D10" s="2" t="inlineStr">
        <is>
          <t>Modération</t>
        </is>
      </c>
      <c r="E10" s="2" t="inlineStr">
        <is>
          <t>Questions regroupées par thème</t>
        </is>
      </c>
      <c r="F10" s="2" t="inlineStr">
        <is>
          <t>Faire circuler le micro de façon inclusive</t>
        </is>
      </c>
    </row>
    <row r="11" ht="45" customHeight="1">
      <c r="A11" s="2" t="inlineStr">
        <is>
          <t>20:10</t>
        </is>
      </c>
      <c r="B11" s="2" t="inlineStr">
        <is>
          <t>20:25</t>
        </is>
      </c>
      <c r="C11" s="2" t="inlineStr">
        <is>
          <t>Pause</t>
        </is>
      </c>
      <c r="D11" s="2" t="inlineStr">
        <is>
          <t>Logistique</t>
        </is>
      </c>
      <c r="E11" s="2" t="inlineStr">
        <is>
          <t>Collation et échanges</t>
        </is>
      </c>
      <c r="F11" s="2" t="inlineStr">
        <is>
          <t>Réduire déchets et congestion</t>
        </is>
      </c>
    </row>
    <row r="12" ht="45" customHeight="1">
      <c r="A12" s="2" t="inlineStr">
        <is>
          <t>20:25</t>
        </is>
      </c>
      <c r="B12" s="2" t="inlineStr">
        <is>
          <t>20:55</t>
        </is>
      </c>
      <c r="C12" s="2" t="inlineStr">
        <is>
          <t>Atelier collectif</t>
        </is>
      </c>
      <c r="D12" s="2" t="inlineStr">
        <is>
          <t>Modération / éditorial</t>
        </is>
      </c>
      <c r="E12" s="2" t="inlineStr">
        <is>
          <t>Examiner une information et ses sources</t>
        </is>
      </c>
      <c r="F12" s="2" t="inlineStr">
        <is>
          <t>Utiliser un exemple documenté, sans exposer de données personnelles</t>
        </is>
      </c>
    </row>
    <row r="13" ht="45" customHeight="1">
      <c r="A13" s="2" t="inlineStr">
        <is>
          <t>20:55</t>
        </is>
      </c>
      <c r="B13" s="2" t="inlineStr">
        <is>
          <t>21:05</t>
        </is>
      </c>
      <c r="C13" s="2" t="inlineStr">
        <is>
          <t>Synthèse</t>
        </is>
      </c>
      <c r="D13" s="2" t="inlineStr">
        <is>
          <t>Modération</t>
        </is>
      </c>
      <c r="E13" s="2" t="inlineStr">
        <is>
          <t>Trois repères pratiques et ressources</t>
        </is>
      </c>
      <c r="F13" s="2" t="inlineStr">
        <is>
          <t>Indiquer comment retrouver les ressources</t>
        </is>
      </c>
    </row>
    <row r="14" ht="45" customHeight="1">
      <c r="A14" s="2" t="inlineStr">
        <is>
          <t>21:05</t>
        </is>
      </c>
      <c r="B14" s="2" t="inlineStr">
        <is>
          <t>21:30</t>
        </is>
      </c>
      <c r="C14" s="2" t="inlineStr">
        <is>
          <t>Échanges informels</t>
        </is>
      </c>
      <c r="D14" s="2" t="inlineStr">
        <is>
          <t>Équipe complète</t>
        </is>
      </c>
      <c r="E14" s="2" t="inlineStr">
        <is>
          <t>Rencontres et retours</t>
        </is>
      </c>
      <c r="F14" s="2" t="inlineStr">
        <is>
          <t>Veiller à l’horaire et aux participants ayant besoin d’aide</t>
        </is>
      </c>
    </row>
    <row r="15" ht="45" customHeight="1">
      <c r="A15" s="2" t="inlineStr">
        <is>
          <t>21:30</t>
        </is>
      </c>
      <c r="B15" s="2" t="inlineStr">
        <is>
          <t>21:45</t>
        </is>
      </c>
      <c r="C15" s="2" t="inlineStr">
        <is>
          <t>Sortie et remise en état</t>
        </is>
      </c>
      <c r="D15" s="2" t="inlineStr">
        <is>
          <t>Logistique / régie</t>
        </is>
      </c>
      <c r="E15" s="2" t="inlineStr">
        <is>
          <t>Rangement et restitution</t>
        </is>
      </c>
      <c r="F15" s="2" t="inlineStr">
        <is>
          <t>Vérifier salle, matériel et objets trouvés</t>
        </is>
      </c>
    </row>
  </sheetData>
  <autoFilter ref="A1:F15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32" customHeight="1">
      <c r="A1" s="1" t="inlineStr">
        <is>
          <t>Action</t>
        </is>
      </c>
      <c r="B1" s="1" t="inlineStr">
        <is>
          <t>Responsable projet</t>
        </is>
      </c>
      <c r="C1" s="1" t="inlineStr">
        <is>
          <t>Éditorial</t>
        </is>
      </c>
      <c r="D1" s="1" t="inlineStr">
        <is>
          <t>Communication</t>
        </is>
      </c>
      <c r="E1" s="1" t="inlineStr">
        <is>
          <t>Logistique</t>
        </is>
      </c>
      <c r="F1" s="1" t="inlineStr">
        <is>
          <t>Accueil</t>
        </is>
      </c>
    </row>
    <row r="2" ht="45" customHeight="1">
      <c r="A2" s="2" t="inlineStr">
        <is>
          <t>Concept et budget</t>
        </is>
      </c>
      <c r="B2" s="2" t="inlineStr">
        <is>
          <t>A/R</t>
        </is>
      </c>
      <c r="C2" s="2" t="inlineStr">
        <is>
          <t>C</t>
        </is>
      </c>
      <c r="D2" s="2" t="inlineStr">
        <is>
          <t>C</t>
        </is>
      </c>
      <c r="E2" s="2" t="inlineStr">
        <is>
          <t>C</t>
        </is>
      </c>
      <c r="F2" s="2" t="inlineStr">
        <is>
          <t>I</t>
        </is>
      </c>
    </row>
    <row r="3" ht="45" customHeight="1">
      <c r="A3" s="2" t="inlineStr">
        <is>
          <t>Programme et intervenants</t>
        </is>
      </c>
      <c r="B3" s="2" t="inlineStr">
        <is>
          <t>A</t>
        </is>
      </c>
      <c r="C3" s="2" t="inlineStr">
        <is>
          <t>R</t>
        </is>
      </c>
      <c r="D3" s="2" t="inlineStr">
        <is>
          <t>C</t>
        </is>
      </c>
      <c r="E3" s="2" t="inlineStr">
        <is>
          <t>I</t>
        </is>
      </c>
      <c r="F3" s="2" t="inlineStr">
        <is>
          <t>I</t>
        </is>
      </c>
    </row>
    <row r="4" ht="45" customHeight="1">
      <c r="A4" s="2" t="inlineStr">
        <is>
          <t>Lieu et technique</t>
        </is>
      </c>
      <c r="B4" s="2" t="inlineStr">
        <is>
          <t>A</t>
        </is>
      </c>
      <c r="C4" s="2" t="inlineStr">
        <is>
          <t>C</t>
        </is>
      </c>
      <c r="D4" s="2" t="inlineStr">
        <is>
          <t>I</t>
        </is>
      </c>
      <c r="E4" s="2" t="inlineStr">
        <is>
          <t>R</t>
        </is>
      </c>
      <c r="F4" s="2" t="inlineStr">
        <is>
          <t>C</t>
        </is>
      </c>
    </row>
    <row r="5" ht="45" customHeight="1">
      <c r="A5" s="2" t="inlineStr">
        <is>
          <t>Supports et diffusion</t>
        </is>
      </c>
      <c r="B5" s="2" t="inlineStr">
        <is>
          <t>A</t>
        </is>
      </c>
      <c r="C5" s="2" t="inlineStr">
        <is>
          <t>C</t>
        </is>
      </c>
      <c r="D5" s="2" t="inlineStr">
        <is>
          <t>R</t>
        </is>
      </c>
      <c r="E5" s="2" t="inlineStr">
        <is>
          <t>C</t>
        </is>
      </c>
      <c r="F5" s="2" t="inlineStr">
        <is>
          <t>I</t>
        </is>
      </c>
    </row>
    <row r="6" ht="45" customHeight="1">
      <c r="A6" s="2" t="inlineStr">
        <is>
          <t>Inscriptions et accueil</t>
        </is>
      </c>
      <c r="B6" s="2" t="inlineStr">
        <is>
          <t>A</t>
        </is>
      </c>
      <c r="C6" s="2" t="inlineStr">
        <is>
          <t>I</t>
        </is>
      </c>
      <c r="D6" s="2" t="inlineStr">
        <is>
          <t>C</t>
        </is>
      </c>
      <c r="E6" s="2" t="inlineStr">
        <is>
          <t>C</t>
        </is>
      </c>
      <c r="F6" s="2" t="inlineStr">
        <is>
          <t>R</t>
        </is>
      </c>
    </row>
    <row r="7" ht="45" customHeight="1">
      <c r="A7" s="2" t="inlineStr">
        <is>
          <t>Déroulé et brief équipe</t>
        </is>
      </c>
      <c r="B7" s="2" t="inlineStr">
        <is>
          <t>A/R</t>
        </is>
      </c>
      <c r="C7" s="2" t="inlineStr">
        <is>
          <t>C</t>
        </is>
      </c>
      <c r="D7" s="2" t="inlineStr">
        <is>
          <t>C</t>
        </is>
      </c>
      <c r="E7" s="2" t="inlineStr">
        <is>
          <t>C</t>
        </is>
      </c>
      <c r="F7" s="2" t="inlineStr">
        <is>
          <t>C</t>
        </is>
      </c>
    </row>
    <row r="8" ht="45" customHeight="1">
      <c r="A8" s="2" t="inlineStr">
        <is>
          <t>Bilan et suivi</t>
        </is>
      </c>
      <c r="B8" s="2" t="inlineStr">
        <is>
          <t>A</t>
        </is>
      </c>
      <c r="C8" s="2" t="inlineStr">
        <is>
          <t>C</t>
        </is>
      </c>
      <c r="D8" s="2" t="inlineStr">
        <is>
          <t>R</t>
        </is>
      </c>
      <c r="E8" s="2" t="inlineStr">
        <is>
          <t>C</t>
        </is>
      </c>
      <c r="F8" s="2" t="inlineStr">
        <is>
          <t>C</t>
        </is>
      </c>
    </row>
  </sheetData>
  <autoFilter ref="A1:F8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00" customWidth="1" min="4" max="4"/>
    <col width="25" customWidth="1" min="5" max="5"/>
    <col width="20" customWidth="1" min="6" max="6"/>
  </cols>
  <sheetData>
    <row r="1" ht="32" customHeight="1">
      <c r="A1" s="1" t="inlineStr">
        <is>
          <t>Risque</t>
        </is>
      </c>
      <c r="B1" s="1" t="inlineStr">
        <is>
          <t>Probabilité</t>
        </is>
      </c>
      <c r="C1" s="1" t="inlineStr">
        <is>
          <t>Impact</t>
        </is>
      </c>
      <c r="D1" s="1" t="inlineStr">
        <is>
          <t>Prévention / repli</t>
        </is>
      </c>
      <c r="E1" s="1" t="inlineStr">
        <is>
          <t>Pilote</t>
        </is>
      </c>
      <c r="F1" s="1" t="inlineStr">
        <is>
          <t>Statut</t>
        </is>
      </c>
    </row>
    <row r="2" ht="45" customHeight="1">
      <c r="A2" s="2" t="inlineStr">
        <is>
          <t>Lieu ou financement non confirmé</t>
        </is>
      </c>
      <c r="B2" s="2" t="inlineStr">
        <is>
          <t>Fort</t>
        </is>
      </c>
      <c r="C2" s="2" t="inlineStr">
        <is>
          <t>Fort</t>
        </is>
      </c>
      <c r="D2" s="2" t="inlineStr">
        <is>
          <t>Ne pas ouvrir les inscriptions avant décision écrite ; comparer au moins deux options</t>
        </is>
      </c>
      <c r="E2" s="2" t="inlineStr">
        <is>
          <t>Responsable projet</t>
        </is>
      </c>
      <c r="F2" s="2" t="inlineStr">
        <is>
          <t>Non vérifié</t>
        </is>
      </c>
    </row>
    <row r="3" ht="45" customHeight="1">
      <c r="A3" s="2" t="inlineStr">
        <is>
          <t>Désistement d’un intervenant</t>
        </is>
      </c>
      <c r="B3" s="2" t="inlineStr">
        <is>
          <t>Moyen</t>
        </is>
      </c>
      <c r="C3" s="2" t="inlineStr">
        <is>
          <t>Fort</t>
        </is>
      </c>
      <c r="D3" s="2" t="inlineStr">
        <is>
          <t>Confirmer par écrit ; prévoir un format à un intervenant et une séquence de questions étendue</t>
        </is>
      </c>
      <c r="E3" s="2" t="inlineStr">
        <is>
          <t>Éditorial</t>
        </is>
      </c>
      <c r="F3" s="2" t="inlineStr">
        <is>
          <t>À préparer</t>
        </is>
      </c>
    </row>
    <row r="4" ht="45" customHeight="1">
      <c r="A4" s="2" t="inlineStr">
        <is>
          <t>Inscrits absents</t>
        </is>
      </c>
      <c r="B4" s="2" t="inlineStr">
        <is>
          <t>Moyen</t>
        </is>
      </c>
      <c r="C4" s="2" t="inlineStr">
        <is>
          <t>Moyen</t>
        </is>
      </c>
      <c r="D4" s="2" t="inlineStr">
        <is>
          <t>Rappel à J-2, confirmation simple et liste d’attente sans dépasser la jauge</t>
        </is>
      </c>
      <c r="E4" s="2" t="inlineStr">
        <is>
          <t>Accueil</t>
        </is>
      </c>
      <c r="F4" s="2" t="inlineStr">
        <is>
          <t>À préparer</t>
        </is>
      </c>
    </row>
    <row r="5" ht="45" customHeight="1">
      <c r="A5" s="2" t="inlineStr">
        <is>
          <t>Panne audio / projection</t>
        </is>
      </c>
      <c r="B5" s="2" t="inlineStr">
        <is>
          <t>Moyen</t>
        </is>
      </c>
      <c r="C5" s="2" t="inlineStr">
        <is>
          <t>Fort</t>
        </is>
      </c>
      <c r="D5" s="2" t="inlineStr">
        <is>
          <t>Test J-1 et le jour même ; conducteur et supports imprimés de secours</t>
        </is>
      </c>
      <c r="E5" s="2" t="inlineStr">
        <is>
          <t>Régie</t>
        </is>
      </c>
      <c r="F5" s="2" t="inlineStr">
        <is>
          <t>À tester</t>
        </is>
      </c>
    </row>
    <row r="6" ht="45" customHeight="1">
      <c r="A6" s="2" t="inlineStr">
        <is>
          <t>Besoin d’accessibilité non anticipé</t>
        </is>
      </c>
      <c r="B6" s="2" t="inlineStr">
        <is>
          <t>Moyen</t>
        </is>
      </c>
      <c r="C6" s="2" t="inlineStr">
        <is>
          <t>Fort</t>
        </is>
      </c>
      <c r="D6" s="2" t="inlineStr">
        <is>
          <t>Vérifier le lieu et offrir un contact pour recueillir les besoins, sans demander de diagnostic médical</t>
        </is>
      </c>
      <c r="E6" s="2" t="inlineStr">
        <is>
          <t>Logistique</t>
        </is>
      </c>
      <c r="F6" s="2" t="inlineStr">
        <is>
          <t>À vérifier</t>
        </is>
      </c>
    </row>
    <row r="7" ht="45" customHeight="1">
      <c r="A7" s="2" t="inlineStr">
        <is>
          <t>Photo ou donnée utilisée sans accord</t>
        </is>
      </c>
      <c r="B7" s="2" t="inlineStr">
        <is>
          <t>Moyen</t>
        </is>
      </c>
      <c r="C7" s="2" t="inlineStr">
        <is>
          <t>Fort</t>
        </is>
      </c>
      <c r="D7" s="2" t="inlineStr">
        <is>
          <t>Informer, recueillir l’accord pour les usages prévus et limiter les accès à la liste d’inscrits</t>
        </is>
      </c>
      <c r="E7" s="2" t="inlineStr">
        <is>
          <t>Communication</t>
        </is>
      </c>
      <c r="F7" s="2" t="inlineStr">
        <is>
          <t>À préparer</t>
        </is>
      </c>
    </row>
    <row r="8" ht="45" customHeight="1">
      <c r="A8" s="2" t="inlineStr">
        <is>
          <t>Incident dans le lieu</t>
        </is>
      </c>
      <c r="B8" s="2" t="inlineStr">
        <is>
          <t>Faible</t>
        </is>
      </c>
      <c r="C8" s="2" t="inlineStr">
        <is>
          <t>Fort</t>
        </is>
      </c>
      <c r="D8" s="2" t="inlineStr">
        <is>
          <t>Suivre le protocole du lieu ; repérer issues, personnel référent et moyens d’alerte</t>
        </is>
      </c>
      <c r="E8" s="2" t="inlineStr">
        <is>
          <t>Logistique</t>
        </is>
      </c>
      <c r="F8" s="2" t="inlineStr">
        <is>
          <t>À confirmer avec le lieu</t>
        </is>
      </c>
    </row>
    <row r="9" ht="45" customHeight="1">
      <c r="A9" s="2" t="inlineStr">
        <is>
          <t>Dérive budgétaire</t>
        </is>
      </c>
      <c r="B9" s="2" t="inlineStr">
        <is>
          <t>Moyen</t>
        </is>
      </c>
      <c r="C9" s="2" t="inlineStr">
        <is>
          <t>Fort</t>
        </is>
      </c>
      <c r="D9" s="2" t="inlineStr">
        <is>
          <t>Aucun engagement sans validation ; réserve de 10 % et arbitrage des options avant commande</t>
        </is>
      </c>
      <c r="E9" s="2" t="inlineStr">
        <is>
          <t>Responsable projet</t>
        </is>
      </c>
      <c r="F9" s="2" t="inlineStr">
        <is>
          <t>À suivre</t>
        </is>
      </c>
    </row>
  </sheetData>
  <autoFilter ref="A1:F9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75" customWidth="1" min="3" max="3"/>
    <col width="45" customWidth="1" min="4" max="4"/>
    <col width="20" customWidth="1" min="5" max="5"/>
  </cols>
  <sheetData>
    <row r="1" ht="32" customHeight="1">
      <c r="A1" s="1" t="inlineStr">
        <is>
          <t>Échéance</t>
        </is>
      </c>
      <c r="B1" s="1" t="inlineStr">
        <is>
          <t>Canal</t>
        </is>
      </c>
      <c r="C1" s="1" t="inlineStr">
        <is>
          <t>Contenu</t>
        </is>
      </c>
      <c r="D1" s="1" t="inlineStr">
        <is>
          <t>Objectif</t>
        </is>
      </c>
      <c r="E1" s="1" t="inlineStr">
        <is>
          <t>Statut</t>
        </is>
      </c>
    </row>
    <row r="2" ht="45" customHeight="1">
      <c r="A2" s="2" t="n">
        <v>-28</v>
      </c>
      <c r="B2" s="2" t="inlineStr">
        <is>
          <t>Page et e-mail</t>
        </is>
      </c>
      <c r="C2" s="2" t="inlineStr">
        <is>
          <t>Programme validé, informations pratiques et inscription</t>
        </is>
      </c>
      <c r="D2" s="2" t="inlineStr">
        <is>
          <t>Ouverture après validation</t>
        </is>
      </c>
      <c r="E2" s="2" t="inlineStr">
        <is>
          <t>À préparer</t>
        </is>
      </c>
    </row>
    <row r="3" ht="45" customHeight="1">
      <c r="A3" s="2" t="n">
        <v>-21</v>
      </c>
      <c r="B3" s="2" t="inlineStr">
        <is>
          <t>Réseaux et relais</t>
        </is>
      </c>
      <c r="C3" s="2" t="inlineStr">
        <is>
          <t>Angle éditorial et invitation</t>
        </is>
      </c>
      <c r="D3" s="2" t="inlineStr">
        <is>
          <t>Faire connaître le rendez-vous</t>
        </is>
      </c>
      <c r="E3" s="2" t="inlineStr">
        <is>
          <t>À préparer</t>
        </is>
      </c>
    </row>
    <row r="4" ht="45" customHeight="1">
      <c r="A4" s="2" t="n">
        <v>-14</v>
      </c>
      <c r="B4" s="2" t="inlineStr">
        <is>
          <t>Réseaux</t>
        </is>
      </c>
      <c r="C4" s="2" t="inlineStr">
        <is>
          <t>Programme et présentation des intervenants confirmés</t>
        </is>
      </c>
      <c r="D4" s="2" t="inlineStr">
        <is>
          <t>Préciser la valeur de la soirée</t>
        </is>
      </c>
      <c r="E4" s="2" t="inlineStr">
        <is>
          <t>À préparer</t>
        </is>
      </c>
    </row>
    <row r="5" ht="45" customHeight="1">
      <c r="A5" s="2" t="n">
        <v>-7</v>
      </c>
      <c r="B5" s="2" t="inlineStr">
        <is>
          <t>Page et e-mail</t>
        </is>
      </c>
      <c r="C5" s="2" t="inlineStr">
        <is>
          <t>Accès, horaires et conditions</t>
        </is>
      </c>
      <c r="D5" s="2" t="inlineStr">
        <is>
          <t>Préparer la venue</t>
        </is>
      </c>
      <c r="E5" s="2" t="inlineStr">
        <is>
          <t>À préparer</t>
        </is>
      </c>
    </row>
    <row r="6" ht="45" customHeight="1">
      <c r="A6" s="2" t="n">
        <v>-2</v>
      </c>
      <c r="B6" s="2" t="inlineStr">
        <is>
          <t>E-mail inscrits</t>
        </is>
      </c>
      <c r="C6" s="2" t="inlineStr">
        <is>
          <t>Rappel et désistement</t>
        </is>
      </c>
      <c r="D6" s="2" t="inlineStr">
        <is>
          <t>Confirmer / libérer les places</t>
        </is>
      </c>
      <c r="E6" s="2" t="inlineStr">
        <is>
          <t>À préparer</t>
        </is>
      </c>
    </row>
    <row r="7" ht="45" customHeight="1">
      <c r="A7" s="2" t="n">
        <v>1</v>
      </c>
      <c r="B7" s="2" t="inlineStr">
        <is>
          <t>E-mail participants</t>
        </is>
      </c>
      <c r="C7" s="2" t="inlineStr">
        <is>
          <t>Remerciement et ressources</t>
        </is>
      </c>
      <c r="D7" s="2" t="inlineStr">
        <is>
          <t>Prolonger les échanges</t>
        </is>
      </c>
      <c r="E7" s="2" t="inlineStr">
        <is>
          <t>À préparer</t>
        </is>
      </c>
    </row>
    <row r="8" ht="45" customHeight="1">
      <c r="A8" s="2" t="n">
        <v>7</v>
      </c>
      <c r="B8" s="2" t="inlineStr">
        <is>
          <t>Bilan interne</t>
        </is>
      </c>
      <c r="C8" s="2" t="inlineStr">
        <is>
          <t>Données vérifiées et améliorations</t>
        </is>
      </c>
      <c r="D8" s="2" t="inlineStr">
        <is>
          <t>Décider des suites</t>
        </is>
      </c>
      <c r="E8" s="2" t="inlineStr">
        <is>
          <t>Non mesuré</t>
        </is>
      </c>
    </row>
  </sheetData>
  <autoFilter ref="A1:E8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90" customWidth="1" min="3" max="3"/>
  </cols>
  <sheetData>
    <row r="1" ht="32" customHeight="1">
      <c r="A1" s="1" t="inlineStr">
        <is>
          <t>Indicateur</t>
        </is>
      </c>
      <c r="B1" s="1" t="inlineStr">
        <is>
          <t>Valeur</t>
        </is>
      </c>
      <c r="C1" s="1" t="inlineStr">
        <is>
          <t>Statut / définition</t>
        </is>
      </c>
    </row>
    <row r="2" ht="45" customHeight="1">
      <c r="A2" s="2" t="inlineStr">
        <is>
          <t>Participants visés</t>
        </is>
      </c>
      <c r="B2" s="2">
        <f>'Paramètres'!B3</f>
        <v/>
      </c>
      <c r="C2" s="2" t="inlineStr">
        <is>
          <t>Objectif, pas un résultat</t>
        </is>
      </c>
    </row>
    <row r="3" ht="45" customHeight="1">
      <c r="A3" s="2" t="inlineStr">
        <is>
          <t>Inscriptions confirmées</t>
        </is>
      </c>
      <c r="B3" s="10" t="n"/>
      <c r="C3" s="2" t="inlineStr">
        <is>
          <t>À renseigner après ouverture</t>
        </is>
      </c>
    </row>
    <row r="4" ht="45" customHeight="1">
      <c r="A4" s="2" t="inlineStr">
        <is>
          <t>Entrées uniques</t>
        </is>
      </c>
      <c r="B4" s="10" t="n"/>
      <c r="C4" s="2" t="inlineStr">
        <is>
          <t>À renseigner après l’événement</t>
        </is>
      </c>
    </row>
    <row r="5" ht="45" customHeight="1">
      <c r="A5" s="2" t="inlineStr">
        <is>
          <t>Taux de présence</t>
        </is>
      </c>
      <c r="B5" s="11">
        <f>IF(COUNT(B3:B4)&lt;2,"",IFERROR(B4/B3,""))</f>
        <v/>
      </c>
      <c r="C5" s="2" t="inlineStr">
        <is>
          <t>Entrées uniques / inscriptions confirmées</t>
        </is>
      </c>
    </row>
    <row r="6" ht="45" customHeight="1">
      <c r="A6" s="2" t="inlineStr">
        <is>
          <t>Questionnaires envoyés</t>
        </is>
      </c>
      <c r="B6" s="10" t="n"/>
      <c r="C6" s="2" t="inlineStr">
        <is>
          <t>À renseigner après l’événement</t>
        </is>
      </c>
    </row>
    <row r="7" ht="45" customHeight="1">
      <c r="A7" s="2" t="inlineStr">
        <is>
          <t>Réponses reçues</t>
        </is>
      </c>
      <c r="B7" s="10" t="n"/>
      <c r="C7" s="2" t="inlineStr">
        <is>
          <t>À renseigner après l’événement</t>
        </is>
      </c>
    </row>
    <row r="8" ht="45" customHeight="1">
      <c r="A8" s="2" t="inlineStr">
        <is>
          <t>Taux de réponse</t>
        </is>
      </c>
      <c r="B8" s="11">
        <f>IF(COUNT(B6:B7)&lt;2,"",IFERROR(B7/B6,""))</f>
        <v/>
      </c>
      <c r="C8" s="2" t="inlineStr">
        <is>
          <t>Réponses / questionnaires envoyés</t>
        </is>
      </c>
    </row>
    <row r="9" ht="45" customHeight="1">
      <c r="A9" s="2" t="inlineStr">
        <is>
          <t>Dépenses réelles TTC</t>
        </is>
      </c>
      <c r="B9" s="12" t="n"/>
      <c r="C9" s="2" t="inlineStr">
        <is>
          <t>À renseigner à partir des dépenses vérifiées</t>
        </is>
      </c>
    </row>
    <row r="10" ht="45" customHeight="1">
      <c r="A10" s="2" t="inlineStr">
        <is>
          <t>Budget prévisionnel</t>
        </is>
      </c>
      <c r="B10" s="7">
        <f>'Budget'!D12</f>
        <v/>
      </c>
      <c r="C10" s="2" t="inlineStr">
        <is>
          <t>Hypothèses, 2 310 € au départ</t>
        </is>
      </c>
    </row>
    <row r="11" ht="45" customHeight="1">
      <c r="A11" s="2" t="inlineStr">
        <is>
          <t>Écart réel - prévisionnel</t>
        </is>
      </c>
      <c r="B11" s="7">
        <f>IF(COUNT(B9)=0,"",B9-B10)</f>
        <v/>
      </c>
      <c r="C11" s="2" t="inlineStr">
        <is>
          <t>Un écart ne se calcule pas avant saisie des dépenses</t>
        </is>
      </c>
    </row>
  </sheetData>
  <autoFilter ref="A1:C1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5" customWidth="1" min="2" max="2"/>
    <col width="35" customWidth="1" min="3" max="3"/>
    <col width="22" customWidth="1" min="4" max="4"/>
    <col width="22" customWidth="1" min="5" max="5"/>
  </cols>
  <sheetData>
    <row r="1" ht="32" customHeight="1">
      <c r="A1" s="1" t="inlineStr">
        <is>
          <t>Sujet</t>
        </is>
      </c>
      <c r="B1" s="1" t="inlineStr">
        <is>
          <t>Décision / preuve</t>
        </is>
      </c>
      <c r="C1" s="1" t="inlineStr">
        <is>
          <t>Responsable proposé</t>
        </is>
      </c>
      <c r="D1" s="1" t="inlineStr">
        <is>
          <t>Échéance</t>
        </is>
      </c>
      <c r="E1" s="1" t="inlineStr">
        <is>
          <t>Statut</t>
        </is>
      </c>
    </row>
    <row r="2" ht="45" customHeight="1">
      <c r="A2" s="2" t="inlineStr">
        <is>
          <t>Portage et financement</t>
        </is>
      </c>
      <c r="B2" s="2" t="n"/>
      <c r="C2" s="2" t="inlineStr">
        <is>
          <t>Responsable projet</t>
        </is>
      </c>
      <c r="D2" s="2" t="inlineStr">
        <is>
          <t>Avant diffusion</t>
        </is>
      </c>
      <c r="E2" s="2" t="inlineStr">
        <is>
          <t>Non confirmé</t>
        </is>
      </c>
    </row>
    <row r="3" ht="45" customHeight="1">
      <c r="A3" s="2" t="inlineStr">
        <is>
          <t>Date et lieu</t>
        </is>
      </c>
      <c r="B3" s="2" t="n"/>
      <c r="C3" s="2" t="inlineStr">
        <is>
          <t>Responsable projet / logistique</t>
        </is>
      </c>
      <c r="D3" s="2" t="inlineStr">
        <is>
          <t>J-42</t>
        </is>
      </c>
      <c r="E3" s="2" t="inlineStr">
        <is>
          <t>Non confirmé</t>
        </is>
      </c>
    </row>
    <row r="4" ht="45" customHeight="1">
      <c r="A4" s="2" t="inlineStr">
        <is>
          <t>Intervenants</t>
        </is>
      </c>
      <c r="B4" s="2" t="n"/>
      <c r="C4" s="2" t="inlineStr">
        <is>
          <t>Éditorial</t>
        </is>
      </c>
      <c r="D4" s="2" t="inlineStr">
        <is>
          <t>J-35</t>
        </is>
      </c>
      <c r="E4" s="2" t="inlineStr">
        <is>
          <t>Non confirmé</t>
        </is>
      </c>
    </row>
    <row r="5" ht="45" customHeight="1">
      <c r="A5" s="2" t="inlineStr">
        <is>
          <t>Assurance et technique</t>
        </is>
      </c>
      <c r="B5" s="2" t="n"/>
      <c r="C5" s="2" t="inlineStr">
        <is>
          <t>Logistique</t>
        </is>
      </c>
      <c r="D5" s="2" t="inlineStr">
        <is>
          <t>J-28</t>
        </is>
      </c>
      <c r="E5" s="2" t="inlineStr">
        <is>
          <t>Non confirmé</t>
        </is>
      </c>
    </row>
    <row r="6" ht="45" customHeight="1">
      <c r="A6" s="2" t="inlineStr">
        <is>
          <t>Inscriptions et données</t>
        </is>
      </c>
      <c r="B6" s="2" t="n"/>
      <c r="C6" s="2" t="inlineStr">
        <is>
          <t>Responsable projet / accueil</t>
        </is>
      </c>
      <c r="D6" s="2" t="inlineStr">
        <is>
          <t>Avant ouverture</t>
        </is>
      </c>
      <c r="E6" s="2" t="inlineStr">
        <is>
          <t>Non ouvert</t>
        </is>
      </c>
    </row>
    <row r="7" ht="45" customHeight="1">
      <c r="A7" s="2" t="inlineStr">
        <is>
          <t>Dépenses engagées</t>
        </is>
      </c>
      <c r="B7" s="2" t="n"/>
      <c r="C7" s="2" t="inlineStr">
        <is>
          <t>Responsable projet</t>
        </is>
      </c>
      <c r="D7" s="2" t="inlineStr">
        <is>
          <t>Avant commande</t>
        </is>
      </c>
      <c r="E7" s="2" t="inlineStr">
        <is>
          <t>Non engagé</t>
        </is>
      </c>
    </row>
  </sheetData>
  <autoFilter ref="A1:E7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2026-10-13T20:25:06Z</dcterms:created>
  <dcterms:modified xmlns:dcterms="http://purl.org/dc/terms/" xmlns:xsi="http://www.w3.org/2001/XMLSchema-instance" xsi:type="dcterms:W3CDTF">2026-10-13T20:25:06Z</dcterms:modified>
</cp:coreProperties>
</file>